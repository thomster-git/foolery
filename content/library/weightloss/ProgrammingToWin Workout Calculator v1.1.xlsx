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7635" windowHeight="7740" activeTab="4"/>
  </bookViews>
  <sheets>
    <sheet name="PNP1" sheetId="1" r:id="rId1"/>
    <sheet name="PNP2" sheetId="3" r:id="rId2"/>
    <sheet name="PNP3" sheetId="4" r:id="rId3"/>
    <sheet name="PIP1" sheetId="5" r:id="rId4"/>
    <sheet name="PIP2" sheetId="7" r:id="rId5"/>
    <sheet name="PIP3" sheetId="8" r:id="rId6"/>
    <sheet name="Copyright" sheetId="6" r:id="rId7"/>
  </sheets>
  <calcPr calcId="145621"/>
</workbook>
</file>

<file path=xl/calcChain.xml><?xml version="1.0" encoding="utf-8"?>
<calcChain xmlns="http://schemas.openxmlformats.org/spreadsheetml/2006/main">
  <c r="E32" i="7" l="1"/>
  <c r="F20" i="4"/>
  <c r="M26" i="4" l="1"/>
  <c r="M19" i="4"/>
  <c r="L24" i="3"/>
  <c r="L17" i="3"/>
  <c r="F25" i="3"/>
  <c r="B37" i="8" l="1"/>
  <c r="E39" i="8"/>
  <c r="H44" i="8" s="1"/>
  <c r="E31" i="8"/>
  <c r="H36" i="8" s="1"/>
  <c r="B29" i="8"/>
  <c r="E23" i="8"/>
  <c r="G27" i="8" s="1"/>
  <c r="B21" i="8"/>
  <c r="E23" i="7"/>
  <c r="E31" i="7"/>
  <c r="G35" i="7" s="1"/>
  <c r="G33" i="7" s="1"/>
  <c r="E39" i="7"/>
  <c r="G43" i="7" s="1"/>
  <c r="G42" i="7" s="1"/>
  <c r="B37" i="7"/>
  <c r="B29" i="7"/>
  <c r="B21" i="7"/>
  <c r="E17" i="1"/>
  <c r="E16" i="1" s="1"/>
  <c r="T34" i="5"/>
  <c r="U34" i="5" s="1"/>
  <c r="T27" i="5"/>
  <c r="T28" i="5" s="1"/>
  <c r="T20" i="5"/>
  <c r="U20" i="5" s="1"/>
  <c r="M20" i="5"/>
  <c r="N20" i="5" s="1"/>
  <c r="M27" i="5"/>
  <c r="N27" i="5" s="1"/>
  <c r="F41" i="5"/>
  <c r="G41" i="5" s="1"/>
  <c r="F34" i="5"/>
  <c r="F35" i="5" s="1"/>
  <c r="F27" i="5"/>
  <c r="F28" i="5" s="1"/>
  <c r="F20" i="5"/>
  <c r="F16" i="5" s="1"/>
  <c r="G16" i="5" s="1"/>
  <c r="M27" i="4"/>
  <c r="M20" i="4"/>
  <c r="F33" i="4"/>
  <c r="F34" i="4" s="1"/>
  <c r="F26" i="4"/>
  <c r="F19" i="4"/>
  <c r="G19" i="4" s="1"/>
  <c r="L18" i="3"/>
  <c r="M18" i="3" s="1"/>
  <c r="L22" i="3"/>
  <c r="M22" i="3" s="1"/>
  <c r="F35" i="3"/>
  <c r="F31" i="3" s="1"/>
  <c r="G25" i="3"/>
  <c r="E32" i="1"/>
  <c r="E31" i="1" s="1"/>
  <c r="F31" i="1" s="1"/>
  <c r="E24" i="1"/>
  <c r="E26" i="1" s="1"/>
  <c r="F26" i="1" s="1"/>
  <c r="F17" i="3"/>
  <c r="G17" i="3" s="1"/>
  <c r="G26" i="4" l="1"/>
  <c r="F21" i="4"/>
  <c r="G43" i="8"/>
  <c r="G42" i="8" s="1"/>
  <c r="H28" i="8"/>
  <c r="G28" i="8"/>
  <c r="G25" i="8"/>
  <c r="G26" i="8"/>
  <c r="G35" i="8"/>
  <c r="F27" i="8"/>
  <c r="F43" i="7"/>
  <c r="G27" i="7"/>
  <c r="G25" i="7" s="1"/>
  <c r="F35" i="7"/>
  <c r="G41" i="7"/>
  <c r="G34" i="7"/>
  <c r="G36" i="7"/>
  <c r="G44" i="7"/>
  <c r="N26" i="4"/>
  <c r="N19" i="4"/>
  <c r="G33" i="4"/>
  <c r="F27" i="4"/>
  <c r="T30" i="5"/>
  <c r="U30" i="5" s="1"/>
  <c r="T25" i="5"/>
  <c r="U25" i="5" s="1"/>
  <c r="T31" i="5"/>
  <c r="U31" i="5" s="1"/>
  <c r="T16" i="5"/>
  <c r="U16" i="5" s="1"/>
  <c r="T32" i="5"/>
  <c r="U32" i="5" s="1"/>
  <c r="M21" i="5"/>
  <c r="M18" i="5"/>
  <c r="N18" i="5" s="1"/>
  <c r="T18" i="5"/>
  <c r="U18" i="5" s="1"/>
  <c r="T29" i="5"/>
  <c r="U29" i="5" s="1"/>
  <c r="T33" i="5"/>
  <c r="U33" i="5" s="1"/>
  <c r="T35" i="5"/>
  <c r="U35" i="5" s="1"/>
  <c r="M23" i="5"/>
  <c r="N23" i="5" s="1"/>
  <c r="M16" i="5"/>
  <c r="N16" i="5" s="1"/>
  <c r="M25" i="5"/>
  <c r="N25" i="5" s="1"/>
  <c r="T17" i="5"/>
  <c r="U17" i="5" s="1"/>
  <c r="T23" i="5"/>
  <c r="U23" i="5" s="1"/>
  <c r="T15" i="5"/>
  <c r="U15" i="5" s="1"/>
  <c r="T19" i="5"/>
  <c r="U19" i="5" s="1"/>
  <c r="M28" i="5"/>
  <c r="N28" i="5" s="1"/>
  <c r="T21" i="5"/>
  <c r="U21" i="5" s="1"/>
  <c r="F42" i="5"/>
  <c r="F37" i="5"/>
  <c r="G37" i="5" s="1"/>
  <c r="F39" i="5"/>
  <c r="G39" i="5" s="1"/>
  <c r="F23" i="5"/>
  <c r="G23" i="5" s="1"/>
  <c r="G27" i="5"/>
  <c r="F25" i="5"/>
  <c r="G25" i="5" s="1"/>
  <c r="F21" i="5"/>
  <c r="G21" i="5" s="1"/>
  <c r="G20" i="5"/>
  <c r="U28" i="5"/>
  <c r="G35" i="5"/>
  <c r="U27" i="5"/>
  <c r="T22" i="5"/>
  <c r="U22" i="5" s="1"/>
  <c r="T24" i="5"/>
  <c r="U24" i="5" s="1"/>
  <c r="T26" i="5"/>
  <c r="U26" i="5" s="1"/>
  <c r="F36" i="5"/>
  <c r="G36" i="5" s="1"/>
  <c r="F40" i="5"/>
  <c r="G40" i="5" s="1"/>
  <c r="F18" i="5"/>
  <c r="G18" i="5" s="1"/>
  <c r="F15" i="5"/>
  <c r="G15" i="5" s="1"/>
  <c r="F17" i="5"/>
  <c r="G17" i="5" s="1"/>
  <c r="F19" i="5"/>
  <c r="G19" i="5" s="1"/>
  <c r="F22" i="5"/>
  <c r="G22" i="5" s="1"/>
  <c r="F24" i="5"/>
  <c r="G24" i="5" s="1"/>
  <c r="F26" i="5"/>
  <c r="G26" i="5" s="1"/>
  <c r="F30" i="5"/>
  <c r="G30" i="5" s="1"/>
  <c r="M15" i="5"/>
  <c r="N15" i="5" s="1"/>
  <c r="M17" i="5"/>
  <c r="N17" i="5" s="1"/>
  <c r="M19" i="5"/>
  <c r="N19" i="5" s="1"/>
  <c r="M22" i="5"/>
  <c r="N22" i="5" s="1"/>
  <c r="M24" i="5"/>
  <c r="N24" i="5" s="1"/>
  <c r="M26" i="5"/>
  <c r="N26" i="5" s="1"/>
  <c r="F32" i="5"/>
  <c r="G32" i="5" s="1"/>
  <c r="F38" i="5"/>
  <c r="G38" i="5" s="1"/>
  <c r="G42" i="5"/>
  <c r="N21" i="5"/>
  <c r="G34" i="5"/>
  <c r="G28" i="5"/>
  <c r="F29" i="5"/>
  <c r="G29" i="5" s="1"/>
  <c r="F31" i="5"/>
  <c r="G31" i="5" s="1"/>
  <c r="F33" i="5"/>
  <c r="G33" i="5" s="1"/>
  <c r="F28" i="4"/>
  <c r="G28" i="4" s="1"/>
  <c r="F30" i="4"/>
  <c r="G30" i="4" s="1"/>
  <c r="F32" i="4"/>
  <c r="G32" i="4" s="1"/>
  <c r="M22" i="4"/>
  <c r="N22" i="4" s="1"/>
  <c r="M24" i="4"/>
  <c r="N24" i="4" s="1"/>
  <c r="M21" i="4"/>
  <c r="N21" i="4" s="1"/>
  <c r="M25" i="4"/>
  <c r="N25" i="4" s="1"/>
  <c r="M23" i="4"/>
  <c r="N23" i="4" s="1"/>
  <c r="N27" i="4"/>
  <c r="M14" i="4"/>
  <c r="N14" i="4" s="1"/>
  <c r="M18" i="4"/>
  <c r="N18" i="4" s="1"/>
  <c r="M15" i="4"/>
  <c r="N15" i="4" s="1"/>
  <c r="M16" i="4"/>
  <c r="N16" i="4" s="1"/>
  <c r="N20" i="4"/>
  <c r="M17" i="4"/>
  <c r="N17" i="4" s="1"/>
  <c r="F29" i="4"/>
  <c r="G29" i="4" s="1"/>
  <c r="G34" i="4"/>
  <c r="G20" i="4"/>
  <c r="F31" i="4"/>
  <c r="G31" i="4" s="1"/>
  <c r="G27" i="4"/>
  <c r="F22" i="4"/>
  <c r="G22" i="4" s="1"/>
  <c r="F24" i="4"/>
  <c r="G24" i="4" s="1"/>
  <c r="G21" i="4"/>
  <c r="F25" i="4"/>
  <c r="G25" i="4" s="1"/>
  <c r="F23" i="4"/>
  <c r="G23" i="4" s="1"/>
  <c r="F14" i="4"/>
  <c r="G14" i="4" s="1"/>
  <c r="F17" i="4"/>
  <c r="G17" i="4" s="1"/>
  <c r="F15" i="4"/>
  <c r="G15" i="4" s="1"/>
  <c r="F16" i="4"/>
  <c r="G16" i="4" s="1"/>
  <c r="F18" i="4"/>
  <c r="G18" i="4" s="1"/>
  <c r="M24" i="3"/>
  <c r="L19" i="3"/>
  <c r="M19" i="3" s="1"/>
  <c r="L21" i="3"/>
  <c r="M21" i="3" s="1"/>
  <c r="L23" i="3"/>
  <c r="M23" i="3" s="1"/>
  <c r="L25" i="3"/>
  <c r="M25" i="3" s="1"/>
  <c r="L20" i="3"/>
  <c r="M20" i="3" s="1"/>
  <c r="M17" i="3"/>
  <c r="L13" i="3"/>
  <c r="M13" i="3" s="1"/>
  <c r="L15" i="3"/>
  <c r="M15" i="3" s="1"/>
  <c r="L12" i="3"/>
  <c r="M12" i="3" s="1"/>
  <c r="L14" i="3"/>
  <c r="M14" i="3" s="1"/>
  <c r="L16" i="3"/>
  <c r="M16" i="3" s="1"/>
  <c r="E29" i="1"/>
  <c r="F29" i="1" s="1"/>
  <c r="E28" i="1"/>
  <c r="F28" i="1" s="1"/>
  <c r="E27" i="1"/>
  <c r="F27" i="1" s="1"/>
  <c r="F28" i="3"/>
  <c r="G28" i="3" s="1"/>
  <c r="F29" i="3"/>
  <c r="G29" i="3" s="1"/>
  <c r="F27" i="3"/>
  <c r="G27" i="3" s="1"/>
  <c r="F13" i="3"/>
  <c r="G13" i="3" s="1"/>
  <c r="F15" i="3"/>
  <c r="G15" i="3" s="1"/>
  <c r="F12" i="3"/>
  <c r="G12" i="3" s="1"/>
  <c r="F14" i="3"/>
  <c r="G14" i="3" s="1"/>
  <c r="F16" i="3"/>
  <c r="G16" i="3" s="1"/>
  <c r="F18" i="3"/>
  <c r="G18" i="3" s="1"/>
  <c r="F19" i="3"/>
  <c r="G19" i="3" s="1"/>
  <c r="F33" i="3"/>
  <c r="G33" i="3" s="1"/>
  <c r="G35" i="3"/>
  <c r="F30" i="3"/>
  <c r="G30" i="3" s="1"/>
  <c r="F32" i="3"/>
  <c r="G32" i="3" s="1"/>
  <c r="F34" i="3"/>
  <c r="G34" i="3" s="1"/>
  <c r="F36" i="3"/>
  <c r="G36" i="3" s="1"/>
  <c r="G31" i="3"/>
  <c r="F20" i="3"/>
  <c r="G20" i="3" s="1"/>
  <c r="F26" i="3"/>
  <c r="G26" i="3" s="1"/>
  <c r="F22" i="3"/>
  <c r="G22" i="3" s="1"/>
  <c r="F24" i="3"/>
  <c r="G24" i="3" s="1"/>
  <c r="F21" i="3"/>
  <c r="G21" i="3" s="1"/>
  <c r="F23" i="3"/>
  <c r="G23" i="3" s="1"/>
  <c r="E13" i="1"/>
  <c r="F13" i="1" s="1"/>
  <c r="E14" i="1"/>
  <c r="F14" i="1" s="1"/>
  <c r="E15" i="1"/>
  <c r="F15" i="1" s="1"/>
  <c r="E12" i="1"/>
  <c r="F12" i="1" s="1"/>
  <c r="E21" i="1"/>
  <c r="F21" i="1" s="1"/>
  <c r="E20" i="1"/>
  <c r="F20" i="1" s="1"/>
  <c r="E22" i="1"/>
  <c r="E19" i="1"/>
  <c r="F19" i="1" s="1"/>
  <c r="E30" i="1"/>
  <c r="F30" i="1" s="1"/>
  <c r="F32" i="1"/>
  <c r="E25" i="1"/>
  <c r="F25" i="1" s="1"/>
  <c r="F24" i="1"/>
  <c r="F22" i="1"/>
  <c r="E23" i="1"/>
  <c r="F23" i="1" s="1"/>
  <c r="F16" i="1"/>
  <c r="F17" i="1"/>
  <c r="E18" i="1"/>
  <c r="F18" i="1" s="1"/>
  <c r="F28" i="8" l="1"/>
  <c r="F42" i="7"/>
  <c r="F44" i="7"/>
  <c r="F36" i="7"/>
  <c r="F43" i="8"/>
  <c r="G41" i="8"/>
  <c r="G44" i="8"/>
  <c r="F26" i="8"/>
  <c r="F24" i="8"/>
  <c r="G24" i="8" s="1"/>
  <c r="F21" i="8"/>
  <c r="G21" i="8" s="1"/>
  <c r="H27" i="8"/>
  <c r="H26" i="8"/>
  <c r="F25" i="8"/>
  <c r="F22" i="8"/>
  <c r="G22" i="8" s="1"/>
  <c r="F23" i="8"/>
  <c r="G23" i="8" s="1"/>
  <c r="E24" i="8"/>
  <c r="G36" i="8"/>
  <c r="G33" i="8"/>
  <c r="G34" i="8"/>
  <c r="F35" i="8"/>
  <c r="F36" i="8" s="1"/>
  <c r="F39" i="7"/>
  <c r="G39" i="7" s="1"/>
  <c r="F37" i="7"/>
  <c r="G37" i="7" s="1"/>
  <c r="H44" i="7"/>
  <c r="F41" i="7"/>
  <c r="F38" i="7"/>
  <c r="G38" i="7" s="1"/>
  <c r="H42" i="7"/>
  <c r="E40" i="7"/>
  <c r="F40" i="7"/>
  <c r="G40" i="7" s="1"/>
  <c r="H34" i="7"/>
  <c r="F34" i="7"/>
  <c r="F27" i="7"/>
  <c r="F28" i="7" s="1"/>
  <c r="G26" i="7"/>
  <c r="G28" i="7"/>
  <c r="F30" i="7"/>
  <c r="G30" i="7" s="1"/>
  <c r="F31" i="7"/>
  <c r="G31" i="7" s="1"/>
  <c r="F29" i="7"/>
  <c r="G29" i="7" s="1"/>
  <c r="H36" i="7"/>
  <c r="F32" i="7"/>
  <c r="G32" i="7" s="1"/>
  <c r="F33" i="7"/>
  <c r="H43" i="7" l="1"/>
  <c r="H35" i="7"/>
  <c r="F37" i="8"/>
  <c r="G37" i="8" s="1"/>
  <c r="F44" i="8"/>
  <c r="H43" i="8" s="1"/>
  <c r="F41" i="8"/>
  <c r="F38" i="8"/>
  <c r="G38" i="8" s="1"/>
  <c r="E40" i="8"/>
  <c r="H42" i="8"/>
  <c r="F39" i="8"/>
  <c r="G39" i="8" s="1"/>
  <c r="F40" i="8"/>
  <c r="G40" i="8" s="1"/>
  <c r="F42" i="8"/>
  <c r="H35" i="8"/>
  <c r="H34" i="8"/>
  <c r="F33" i="8"/>
  <c r="F30" i="8"/>
  <c r="G30" i="8" s="1"/>
  <c r="F29" i="8"/>
  <c r="G29" i="8" s="1"/>
  <c r="F31" i="8"/>
  <c r="G31" i="8" s="1"/>
  <c r="F34" i="8"/>
  <c r="F32" i="8"/>
  <c r="G32" i="8" s="1"/>
  <c r="E32" i="8"/>
  <c r="F22" i="7"/>
  <c r="G22" i="7" s="1"/>
  <c r="F24" i="7"/>
  <c r="G24" i="7" s="1"/>
  <c r="F23" i="7"/>
  <c r="G23" i="7" s="1"/>
  <c r="H26" i="7"/>
  <c r="E24" i="7"/>
  <c r="H28" i="7"/>
  <c r="H27" i="7" s="1"/>
  <c r="F21" i="7"/>
  <c r="G21" i="7" s="1"/>
  <c r="F25" i="7"/>
  <c r="F26" i="7"/>
</calcChain>
</file>

<file path=xl/sharedStrings.xml><?xml version="1.0" encoding="utf-8"?>
<sst xmlns="http://schemas.openxmlformats.org/spreadsheetml/2006/main" count="229" uniqueCount="59">
  <si>
    <t>Exercise</t>
  </si>
  <si>
    <t>Reps</t>
  </si>
  <si>
    <t>ONLY CHANGE WHITE COLORED CELLS WITH DOTTED OUTLINES</t>
  </si>
  <si>
    <t>If it is your first workout, remember the work sets are always 3-6 reps</t>
  </si>
  <si>
    <t>After each workout, repeat the above process to get your next workout weights</t>
  </si>
  <si>
    <t>WED</t>
  </si>
  <si>
    <t>Next Workout Weights</t>
  </si>
  <si>
    <t>Last Workset Weights</t>
  </si>
  <si>
    <t>Enter your last workout weights or starting weights in the dotted white boxes below</t>
  </si>
  <si>
    <t>Also enter the amount of reps you got on your work sets</t>
  </si>
  <si>
    <t>www.PowerliftingToWin.com</t>
  </si>
  <si>
    <t>Pounds:</t>
  </si>
  <si>
    <t>Keep "1" in the box for LBS. Delete "1" for KG.</t>
  </si>
  <si>
    <t>PNP1</t>
  </si>
  <si>
    <t>PNP2</t>
  </si>
  <si>
    <t>Deadlift</t>
  </si>
  <si>
    <t>Pause Bench</t>
  </si>
  <si>
    <t>Squat</t>
  </si>
  <si>
    <t>MON and FRI</t>
  </si>
  <si>
    <t>2-Count Pause Squat</t>
  </si>
  <si>
    <t>2-Count Pause Bench</t>
  </si>
  <si>
    <t>Fatigue</t>
  </si>
  <si>
    <t>Next Time</t>
  </si>
  <si>
    <t>Last Time</t>
  </si>
  <si>
    <t>PNP3</t>
  </si>
  <si>
    <t>Remember, for back-off sets, you perform the same amount of reps you got on your work set</t>
  </si>
  <si>
    <t>Load Drop</t>
  </si>
  <si>
    <t>Repeat</t>
  </si>
  <si>
    <t>Remember, there isn't a specificied number of back-off sets, they're autoregulated; go until the back-off set RPE equals the top set RPE</t>
  </si>
  <si>
    <t>Mon</t>
  </si>
  <si>
    <t>2" Deficit Deadlift</t>
  </si>
  <si>
    <t>Close Grip Bench Press</t>
  </si>
  <si>
    <t>Front Squat</t>
  </si>
  <si>
    <t>Incline Bench</t>
  </si>
  <si>
    <t>FRI</t>
  </si>
  <si>
    <t>3-5%</t>
  </si>
  <si>
    <t>5-10%</t>
  </si>
  <si>
    <t>3-6%</t>
  </si>
  <si>
    <t>2-3%</t>
  </si>
  <si>
    <t>4-6%</t>
  </si>
  <si>
    <t>6-9%</t>
  </si>
  <si>
    <t>For new exercises, you will have to "work up" on your first workout to find your weights</t>
  </si>
  <si>
    <t>RPE 9</t>
  </si>
  <si>
    <t>You don't need to do anything with the fatigue column; it is just there to remind you what RPE to go for, what fatigue method to use, and what fatigue % you're using</t>
  </si>
  <si>
    <t>This spreadsheet may not be reproduced or transmitted in any form without the express written consent of the author.</t>
  </si>
  <si>
    <t>Copyright 2014 by Israel Narvaez. All Rights Reserved.</t>
  </si>
  <si>
    <t>RPE 8</t>
  </si>
  <si>
    <t>RPE 7</t>
  </si>
  <si>
    <t>RPE</t>
  </si>
  <si>
    <t>Week:</t>
  </si>
  <si>
    <t>Which Workout Are You Doing Next? Enter 1 for Mon, 2 for Tues, 3 for Fri, 4 for Sat</t>
  </si>
  <si>
    <t>Day of the Week:</t>
  </si>
  <si>
    <t>PIP2</t>
  </si>
  <si>
    <t>What Week of the Cycle Are You On? Enter 1, 2, or 3</t>
  </si>
  <si>
    <t>Last e1RM:</t>
  </si>
  <si>
    <t>Projected New e1RM:</t>
  </si>
  <si>
    <t>Enter your last workout weight, reps, and PE in the dotted white boxes below</t>
  </si>
  <si>
    <t>You may round up a bit from the calculations if you so choose, but do not round up too much!</t>
  </si>
  <si>
    <t>PIP3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</si>
</sst>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48"/>
      <color theme="10"/>
      <name val="Calibri"/>
      <family val="2"/>
      <scheme val="minor"/>
    </font>
    <font>
      <u/>
      <sz val="36"/>
      <color theme="10"/>
      <name val="Calibri"/>
      <family val="2"/>
      <scheme val="minor"/>
    </font>
    <font>
      <sz val="48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60"/>
      <color theme="10"/>
      <name val="Calibri"/>
      <family val="2"/>
      <scheme val="minor"/>
    </font>
    <font>
      <sz val="6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u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6"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3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5" fillId="4" borderId="21" xfId="0" applyFont="1" applyFill="1" applyBorder="1" applyAlignment="1">
      <alignment horizontal="left"/>
    </xf>
    <xf numFmtId="0" fontId="0" fillId="6" borderId="4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5" borderId="47" xfId="0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5" fillId="4" borderId="11" xfId="0" applyFont="1" applyFill="1" applyBorder="1" applyAlignment="1">
      <alignment horizontal="left"/>
    </xf>
    <xf numFmtId="0" fontId="5" fillId="4" borderId="20" xfId="0" applyFont="1" applyFill="1" applyBorder="1" applyAlignment="1">
      <alignment horizontal="left"/>
    </xf>
    <xf numFmtId="0" fontId="0" fillId="3" borderId="52" xfId="0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3" borderId="38" xfId="0" applyFill="1" applyBorder="1" applyAlignment="1">
      <alignment vertical="center"/>
    </xf>
    <xf numFmtId="0" fontId="0" fillId="3" borderId="43" xfId="0" applyFill="1" applyBorder="1" applyAlignment="1">
      <alignment vertical="center"/>
    </xf>
    <xf numFmtId="0" fontId="0" fillId="3" borderId="54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55" xfId="0" applyFill="1" applyBorder="1" applyAlignment="1">
      <alignment vertical="center"/>
    </xf>
    <xf numFmtId="0" fontId="0" fillId="5" borderId="56" xfId="0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1" fontId="0" fillId="5" borderId="56" xfId="0" applyNumberFormat="1" applyFill="1" applyBorder="1" applyAlignment="1">
      <alignment horizontal="center"/>
    </xf>
    <xf numFmtId="1" fontId="0" fillId="5" borderId="58" xfId="0" applyNumberFormat="1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5" borderId="17" xfId="0" applyFill="1" applyBorder="1" applyAlignment="1">
      <alignment horizontal="center" vertical="center"/>
    </xf>
    <xf numFmtId="1" fontId="0" fillId="5" borderId="58" xfId="0" applyNumberFormat="1" applyFill="1" applyBorder="1" applyAlignment="1">
      <alignment horizontal="center" vertical="center"/>
    </xf>
    <xf numFmtId="0" fontId="0" fillId="3" borderId="27" xfId="0" applyFill="1" applyBorder="1" applyAlignment="1">
      <alignment horizontal="center"/>
    </xf>
    <xf numFmtId="0" fontId="1" fillId="10" borderId="53" xfId="0" applyFont="1" applyFill="1" applyBorder="1" applyAlignment="1">
      <alignment horizontal="center" wrapText="1"/>
    </xf>
    <xf numFmtId="0" fontId="0" fillId="3" borderId="60" xfId="0" applyFill="1" applyBorder="1" applyAlignment="1">
      <alignment horizontal="center"/>
    </xf>
    <xf numFmtId="0" fontId="1" fillId="10" borderId="61" xfId="0" applyFont="1" applyFill="1" applyBorder="1" applyAlignment="1">
      <alignment horizontal="center" wrapText="1"/>
    </xf>
    <xf numFmtId="0" fontId="1" fillId="10" borderId="61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 vertical="center" wrapText="1"/>
    </xf>
    <xf numFmtId="0" fontId="5" fillId="0" borderId="0" xfId="0" applyFont="1"/>
    <xf numFmtId="0" fontId="0" fillId="3" borderId="0" xfId="0" applyFill="1" applyBorder="1" applyAlignment="1">
      <alignment vertical="center"/>
    </xf>
    <xf numFmtId="0" fontId="18" fillId="4" borderId="20" xfId="0" applyFont="1" applyFill="1" applyBorder="1" applyAlignment="1">
      <alignment horizontal="left"/>
    </xf>
    <xf numFmtId="0" fontId="18" fillId="4" borderId="0" xfId="0" applyFont="1" applyFill="1" applyBorder="1" applyAlignment="1">
      <alignment horizontal="left"/>
    </xf>
    <xf numFmtId="0" fontId="19" fillId="4" borderId="20" xfId="0" applyFont="1" applyFill="1" applyBorder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5" borderId="16" xfId="0" applyFill="1" applyBorder="1" applyAlignment="1">
      <alignment horizontal="center" vertical="center" wrapText="1"/>
    </xf>
    <xf numFmtId="0" fontId="0" fillId="3" borderId="62" xfId="0" applyFill="1" applyBorder="1" applyAlignment="1">
      <alignment horizontal="center"/>
    </xf>
    <xf numFmtId="0" fontId="0" fillId="10" borderId="56" xfId="0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3" fillId="7" borderId="28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 wrapText="1"/>
    </xf>
    <xf numFmtId="0" fontId="14" fillId="0" borderId="11" xfId="1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6" fillId="0" borderId="11" xfId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3" fillId="7" borderId="19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5" fillId="10" borderId="16" xfId="0" applyFont="1" applyFill="1" applyBorder="1" applyAlignment="1">
      <alignment horizontal="right" vertical="center"/>
    </xf>
    <xf numFmtId="0" fontId="5" fillId="10" borderId="56" xfId="0" applyFont="1" applyFill="1" applyBorder="1" applyAlignment="1">
      <alignment horizontal="right" vertical="center"/>
    </xf>
    <xf numFmtId="0" fontId="5" fillId="10" borderId="9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owerliftingtowi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werliftingtowin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werliftingtowin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werliftingtowin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werliftingtowin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werliftingtow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zoomScaleNormal="100" workbookViewId="0">
      <selection sqref="A1:H1"/>
    </sheetView>
  </sheetViews>
  <sheetFormatPr defaultColWidth="9.140625" defaultRowHeight="15" x14ac:dyDescent="0.25"/>
  <cols>
    <col min="1" max="1" width="9.140625" style="28"/>
    <col min="2" max="2" width="9.5703125" style="28" customWidth="1"/>
    <col min="3" max="3" width="23.7109375" style="28" customWidth="1"/>
    <col min="4" max="4" width="6.28515625" style="28" customWidth="1"/>
    <col min="5" max="5" width="24.85546875" style="28" customWidth="1"/>
    <col min="6" max="7" width="6.28515625" style="28" customWidth="1"/>
    <col min="8" max="8" width="13.5703125" style="28" bestFit="1" customWidth="1"/>
    <col min="9" max="9" width="5.28515625" style="28" customWidth="1"/>
    <col min="10" max="16384" width="9.140625" style="28"/>
  </cols>
  <sheetData>
    <row r="1" spans="1:10" ht="46.9" thickBot="1" x14ac:dyDescent="0.9">
      <c r="A1" s="102" t="s">
        <v>10</v>
      </c>
      <c r="B1" s="102"/>
      <c r="C1" s="102"/>
      <c r="D1" s="102"/>
      <c r="E1" s="102"/>
      <c r="F1" s="102"/>
      <c r="G1" s="102"/>
      <c r="H1" s="102"/>
    </row>
    <row r="2" spans="1:10" ht="18" x14ac:dyDescent="0.3">
      <c r="A2" s="109" t="s">
        <v>2</v>
      </c>
      <c r="B2" s="110"/>
      <c r="C2" s="110"/>
      <c r="D2" s="110"/>
      <c r="E2" s="110"/>
      <c r="F2" s="110"/>
      <c r="G2" s="110"/>
      <c r="H2" s="111"/>
    </row>
    <row r="3" spans="1:10" ht="14.45" x14ac:dyDescent="0.3">
      <c r="A3" s="54" t="s">
        <v>8</v>
      </c>
      <c r="B3" s="35"/>
      <c r="C3" s="11"/>
      <c r="D3" s="11"/>
      <c r="E3" s="11"/>
      <c r="F3" s="11"/>
      <c r="G3" s="11"/>
      <c r="H3" s="30"/>
    </row>
    <row r="4" spans="1:10" ht="14.45" x14ac:dyDescent="0.3">
      <c r="A4" s="54" t="s">
        <v>9</v>
      </c>
      <c r="B4" s="35"/>
      <c r="C4" s="11"/>
      <c r="D4" s="11"/>
      <c r="E4" s="11"/>
      <c r="F4" s="11"/>
      <c r="G4" s="11"/>
      <c r="H4" s="30"/>
    </row>
    <row r="5" spans="1:10" ht="14.45" x14ac:dyDescent="0.3">
      <c r="A5" s="54" t="s">
        <v>3</v>
      </c>
      <c r="B5" s="35"/>
      <c r="C5" s="11"/>
      <c r="D5" s="11"/>
      <c r="E5" s="11"/>
      <c r="F5" s="11"/>
      <c r="G5" s="11"/>
      <c r="H5" s="30"/>
    </row>
    <row r="6" spans="1:10" thickBot="1" x14ac:dyDescent="0.35">
      <c r="A6" s="29"/>
      <c r="B6" s="20"/>
      <c r="C6" s="11"/>
      <c r="D6" s="11"/>
      <c r="E6" s="11"/>
      <c r="F6" s="11"/>
      <c r="G6" s="11"/>
      <c r="H6" s="30"/>
    </row>
    <row r="7" spans="1:10" thickBot="1" x14ac:dyDescent="0.35">
      <c r="A7" s="29"/>
      <c r="B7" s="112" t="s">
        <v>12</v>
      </c>
      <c r="C7" s="113"/>
      <c r="D7" s="113"/>
      <c r="E7" s="113"/>
      <c r="F7" s="114"/>
      <c r="G7" s="11"/>
      <c r="H7" s="30"/>
    </row>
    <row r="8" spans="1:10" thickBot="1" x14ac:dyDescent="0.35">
      <c r="A8" s="29"/>
      <c r="B8" s="21" t="s">
        <v>11</v>
      </c>
      <c r="C8" s="115">
        <v>1</v>
      </c>
      <c r="D8" s="116"/>
      <c r="E8" s="116"/>
      <c r="F8" s="117"/>
      <c r="G8" s="11"/>
      <c r="H8" s="30"/>
    </row>
    <row r="9" spans="1:10" thickBot="1" x14ac:dyDescent="0.35">
      <c r="A9" s="29"/>
      <c r="B9" s="11"/>
      <c r="C9" s="11"/>
      <c r="D9" s="11"/>
      <c r="E9" s="11"/>
      <c r="F9" s="11"/>
      <c r="G9" s="11"/>
      <c r="H9" s="30"/>
    </row>
    <row r="10" spans="1:10" ht="18.600000000000001" thickBot="1" x14ac:dyDescent="0.4">
      <c r="A10" s="29"/>
      <c r="B10" s="106" t="s">
        <v>13</v>
      </c>
      <c r="C10" s="107"/>
      <c r="D10" s="107"/>
      <c r="E10" s="107"/>
      <c r="F10" s="108"/>
      <c r="G10" s="11"/>
      <c r="H10" s="30"/>
    </row>
    <row r="11" spans="1:10" ht="17.45" thickBot="1" x14ac:dyDescent="0.4">
      <c r="A11" s="29"/>
      <c r="B11" s="2" t="s">
        <v>0</v>
      </c>
      <c r="C11" s="1" t="s">
        <v>7</v>
      </c>
      <c r="D11" s="4" t="s">
        <v>1</v>
      </c>
      <c r="E11" s="1" t="s">
        <v>6</v>
      </c>
      <c r="F11" s="13" t="s">
        <v>1</v>
      </c>
      <c r="G11" s="11"/>
      <c r="H11" s="30"/>
    </row>
    <row r="12" spans="1:10" ht="15.75" thickBot="1" x14ac:dyDescent="0.3">
      <c r="A12" s="29"/>
      <c r="B12" s="103" t="s">
        <v>17</v>
      </c>
      <c r="C12" s="96"/>
      <c r="D12" s="7"/>
      <c r="E12" s="27" t="str">
        <f>(IF(E17&lt;&gt;"",MROUND(E17*0.3,5),""))</f>
        <v/>
      </c>
      <c r="F12" s="3" t="str">
        <f>IF(E12&lt;&gt;"",5,"")</f>
        <v/>
      </c>
      <c r="G12" s="11"/>
      <c r="H12" s="30"/>
      <c r="J12" s="31"/>
    </row>
    <row r="13" spans="1:10" ht="15.75" thickBot="1" x14ac:dyDescent="0.3">
      <c r="A13" s="29"/>
      <c r="B13" s="104"/>
      <c r="C13" s="98"/>
      <c r="D13" s="15"/>
      <c r="E13" s="27" t="str">
        <f>(IF(E17&lt;&gt;"",MROUND(E17*0.5,5),""))</f>
        <v/>
      </c>
      <c r="F13" s="3" t="str">
        <f>IF(E13&lt;&gt;"",5,"")</f>
        <v/>
      </c>
      <c r="G13" s="11"/>
      <c r="H13" s="30"/>
      <c r="J13" s="31"/>
    </row>
    <row r="14" spans="1:10" x14ac:dyDescent="0.25">
      <c r="A14" s="29"/>
      <c r="B14" s="104"/>
      <c r="C14" s="23"/>
      <c r="D14" s="25"/>
      <c r="E14" s="27" t="str">
        <f>(IF(E17&lt;&gt;"",MROUND(E17*0.7,5),""))</f>
        <v/>
      </c>
      <c r="F14" s="3" t="str">
        <f>IF(E14&lt;&gt;"",3,"")</f>
        <v/>
      </c>
      <c r="G14" s="11"/>
      <c r="H14" s="30"/>
      <c r="J14" s="31"/>
    </row>
    <row r="15" spans="1:10" x14ac:dyDescent="0.25">
      <c r="A15" s="29"/>
      <c r="B15" s="104"/>
      <c r="C15" s="14"/>
      <c r="D15" s="26"/>
      <c r="E15" s="27" t="str">
        <f>(IF(E17&lt;&gt;"",MROUND(E17*0.8,5),""))</f>
        <v/>
      </c>
      <c r="F15" s="3" t="str">
        <f>IF(E15&lt;&gt;"",2,"")</f>
        <v/>
      </c>
      <c r="G15" s="11"/>
      <c r="H15" s="30"/>
      <c r="J15" s="31"/>
    </row>
    <row r="16" spans="1:10" x14ac:dyDescent="0.25">
      <c r="A16" s="29"/>
      <c r="B16" s="104"/>
      <c r="C16" s="14"/>
      <c r="D16" s="26"/>
      <c r="E16" s="27" t="str">
        <f>(IF(E17&lt;&gt;"",MROUND(E17*0.9,5),""))</f>
        <v/>
      </c>
      <c r="F16" s="3" t="str">
        <f>IF(E16&lt;&gt;"",1,"")</f>
        <v/>
      </c>
      <c r="G16" s="11"/>
      <c r="H16" s="30"/>
      <c r="J16" s="31"/>
    </row>
    <row r="17" spans="1:10" x14ac:dyDescent="0.25">
      <c r="A17" s="29"/>
      <c r="B17" s="104"/>
      <c r="C17" s="40"/>
      <c r="D17" s="32"/>
      <c r="E17" s="27" t="str">
        <f>IF(C12="","",IF($C$8=1,IF(MIN(D12:D13)&gt;=6,C12+10,IF(MIN(D12:D13)=5,C12+5,IF(MIN(D12:D13)=4,C12+2.5,IF(MIN(D12:D13)=3,C12+1,"")))),IF(MIN(D12:D13)&gt;=6,C12+5,IF(MIN(D12:D13)=5,C12+2,IF(MIN(D12:D13)=4,C12+1,IF(MIN(D12:D13)=3,C12+0.5,""))))))</f>
        <v/>
      </c>
      <c r="F17" s="17" t="str">
        <f>IF(E17&lt;&gt;"","3-6","")</f>
        <v/>
      </c>
      <c r="G17" s="11"/>
      <c r="H17" s="30"/>
      <c r="J17" s="31"/>
    </row>
    <row r="18" spans="1:10" ht="15.75" thickBot="1" x14ac:dyDescent="0.3">
      <c r="A18" s="29"/>
      <c r="B18" s="105"/>
      <c r="C18" s="40"/>
      <c r="D18" s="32"/>
      <c r="E18" s="19" t="str">
        <f>IF(E17&lt;&gt;"",E17,"")</f>
        <v/>
      </c>
      <c r="F18" s="18" t="str">
        <f>IF(E18&lt;&gt;"","3-6","")</f>
        <v/>
      </c>
      <c r="G18" s="11"/>
      <c r="H18" s="30"/>
      <c r="J18" s="31"/>
    </row>
    <row r="19" spans="1:10" ht="15" customHeight="1" thickBot="1" x14ac:dyDescent="0.3">
      <c r="A19" s="29"/>
      <c r="B19" s="93" t="s">
        <v>16</v>
      </c>
      <c r="C19" s="96"/>
      <c r="D19" s="38"/>
      <c r="E19" s="27" t="str">
        <f>(IF(E24&lt;&gt;"",MROUND(E24*0.3,5),""))</f>
        <v/>
      </c>
      <c r="F19" s="3" t="str">
        <f>IF(E19&lt;&gt;"",5,"")</f>
        <v/>
      </c>
      <c r="G19" s="11"/>
      <c r="H19" s="30"/>
    </row>
    <row r="20" spans="1:10" ht="15.75" thickBot="1" x14ac:dyDescent="0.3">
      <c r="A20" s="29"/>
      <c r="B20" s="94"/>
      <c r="C20" s="97"/>
      <c r="D20" s="15"/>
      <c r="E20" s="27" t="str">
        <f>(IF(E24&lt;&gt;"",MROUND(E24*0.5,5),""))</f>
        <v/>
      </c>
      <c r="F20" s="3" t="str">
        <f>IF(E20&lt;&gt;"",5,"")</f>
        <v/>
      </c>
      <c r="G20" s="11"/>
      <c r="H20" s="30"/>
    </row>
    <row r="21" spans="1:10" ht="15.75" thickBot="1" x14ac:dyDescent="0.3">
      <c r="A21" s="29"/>
      <c r="B21" s="94"/>
      <c r="C21" s="98"/>
      <c r="D21" s="15"/>
      <c r="E21" s="27" t="str">
        <f>(IF(E24&lt;&gt;"",MROUND(E24*0.7,5),""))</f>
        <v/>
      </c>
      <c r="F21" s="3" t="str">
        <f>IF(E21&lt;&gt;"",3,"")</f>
        <v/>
      </c>
      <c r="G21" s="11"/>
      <c r="H21" s="30"/>
    </row>
    <row r="22" spans="1:10" x14ac:dyDescent="0.25">
      <c r="A22" s="29"/>
      <c r="B22" s="94"/>
      <c r="C22" s="23"/>
      <c r="D22" s="26"/>
      <c r="E22" s="27" t="str">
        <f>(IF(E24&lt;&gt;"",MROUND(E24*0.8,5),""))</f>
        <v/>
      </c>
      <c r="F22" s="3" t="str">
        <f>IF(E22&lt;&gt;"",2,"")</f>
        <v/>
      </c>
      <c r="G22" s="11"/>
      <c r="H22" s="30"/>
    </row>
    <row r="23" spans="1:10" x14ac:dyDescent="0.25">
      <c r="A23" s="29"/>
      <c r="B23" s="94"/>
      <c r="C23" s="14"/>
      <c r="D23" s="26"/>
      <c r="E23" s="27" t="str">
        <f>(IF(E24&lt;&gt;"",MROUND(E24*0.9,5),""))</f>
        <v/>
      </c>
      <c r="F23" s="3" t="str">
        <f>IF(E23&lt;&gt;"",1,"")</f>
        <v/>
      </c>
      <c r="G23" s="11"/>
      <c r="H23" s="30"/>
    </row>
    <row r="24" spans="1:10" x14ac:dyDescent="0.25">
      <c r="A24" s="29"/>
      <c r="B24" s="94"/>
      <c r="C24" s="40"/>
      <c r="D24" s="32"/>
      <c r="E24" s="27" t="str">
        <f>IF(C19="","",IF($C$8=1,IF(MIN(D19:D21)&gt;=6,C19+10,IF(MIN(D19:D21)=5,C19+5,IF(MIN(D19:D21)=4,C19+2.5,IF(MIN(D19:D21)=3,C19+1,"")))),IF(MIN(D19:D21)&gt;=6,C19+5,IF(MIN(D19:D21)=5,C19+2,IF(MIN(D19:D21)=4,C19+1,IF(MIN(D19:D21)=3,C19+0.5,""))))))</f>
        <v/>
      </c>
      <c r="F24" s="17" t="str">
        <f>IF(E24&lt;&gt;"","3-6","")</f>
        <v/>
      </c>
      <c r="G24" s="11"/>
      <c r="H24" s="30"/>
    </row>
    <row r="25" spans="1:10" x14ac:dyDescent="0.25">
      <c r="A25" s="29"/>
      <c r="B25" s="94"/>
      <c r="C25" s="40"/>
      <c r="D25" s="32"/>
      <c r="E25" s="27" t="str">
        <f>IF(E24&lt;&gt;"",E24,"")</f>
        <v/>
      </c>
      <c r="F25" s="17" t="str">
        <f>IF(E25&lt;&gt;"","3-6","")</f>
        <v/>
      </c>
      <c r="G25" s="11"/>
      <c r="H25" s="30"/>
    </row>
    <row r="26" spans="1:10" ht="15" customHeight="1" thickBot="1" x14ac:dyDescent="0.3">
      <c r="A26" s="29"/>
      <c r="B26" s="95"/>
      <c r="C26" s="41"/>
      <c r="D26" s="8"/>
      <c r="E26" s="19" t="str">
        <f>IF(E24&lt;&gt;"",E24,"")</f>
        <v/>
      </c>
      <c r="F26" s="18" t="str">
        <f>IF(E26&lt;&gt;"","3-6","")</f>
        <v/>
      </c>
      <c r="G26" s="11"/>
      <c r="H26" s="30"/>
    </row>
    <row r="27" spans="1:10" ht="15.75" thickBot="1" x14ac:dyDescent="0.3">
      <c r="A27" s="29"/>
      <c r="B27" s="99" t="s">
        <v>15</v>
      </c>
      <c r="C27" s="16"/>
      <c r="D27" s="16"/>
      <c r="E27" s="27" t="str">
        <f>(IF(E32&lt;&gt;"",MROUND(E32*0.3,5),""))</f>
        <v/>
      </c>
      <c r="F27" s="3" t="str">
        <f>IF(E27&lt;&gt;"",5,"")</f>
        <v/>
      </c>
      <c r="G27" s="11"/>
      <c r="H27" s="30"/>
    </row>
    <row r="28" spans="1:10" x14ac:dyDescent="0.25">
      <c r="A28" s="29"/>
      <c r="B28" s="100"/>
      <c r="C28" s="40"/>
      <c r="D28" s="40"/>
      <c r="E28" s="27" t="str">
        <f>(IF(E32&lt;&gt;"",MROUND(E32*0.5,5),""))</f>
        <v/>
      </c>
      <c r="F28" s="3" t="str">
        <f>IF(E28&lt;&gt;"",5,"")</f>
        <v/>
      </c>
      <c r="G28" s="11"/>
      <c r="H28" s="30"/>
    </row>
    <row r="29" spans="1:10" x14ac:dyDescent="0.25">
      <c r="A29" s="29"/>
      <c r="B29" s="100"/>
      <c r="C29" s="40"/>
      <c r="D29" s="40"/>
      <c r="E29" s="27" t="str">
        <f>(IF(E32&lt;&gt;"",MROUND(E32*0.7,5),""))</f>
        <v/>
      </c>
      <c r="F29" s="3" t="str">
        <f>IF(E29&lt;&gt;"",3,"")</f>
        <v/>
      </c>
      <c r="G29" s="11"/>
      <c r="H29" s="30"/>
    </row>
    <row r="30" spans="1:10" x14ac:dyDescent="0.25">
      <c r="A30" s="29"/>
      <c r="B30" s="100"/>
      <c r="C30" s="14"/>
      <c r="D30" s="22"/>
      <c r="E30" s="27" t="str">
        <f>(IF(E32&lt;&gt;"",MROUND(E32*0.8,5),""))</f>
        <v/>
      </c>
      <c r="F30" s="3" t="str">
        <f>IF(E30&lt;&gt;"",2,"")</f>
        <v/>
      </c>
      <c r="G30" s="11"/>
      <c r="H30" s="30"/>
    </row>
    <row r="31" spans="1:10" ht="15.75" thickBot="1" x14ac:dyDescent="0.3">
      <c r="A31" s="29"/>
      <c r="B31" s="100"/>
      <c r="C31" s="44"/>
      <c r="D31" s="42"/>
      <c r="E31" s="27" t="str">
        <f>(IF(E32&lt;&gt;"",MROUND(E32*0.9,5),""))</f>
        <v/>
      </c>
      <c r="F31" s="3" t="str">
        <f>IF(E31&lt;&gt;"",1,"")</f>
        <v/>
      </c>
      <c r="G31" s="11"/>
      <c r="H31" s="30"/>
    </row>
    <row r="32" spans="1:10" ht="15.75" thickBot="1" x14ac:dyDescent="0.3">
      <c r="A32" s="29"/>
      <c r="B32" s="101"/>
      <c r="C32" s="47"/>
      <c r="D32" s="43"/>
      <c r="E32" s="24" t="str">
        <f>IF(C27="","",IF($C$8=1,IF(MIN(D27:D27)&gt;=6,C27+10,IF(MIN(D27:D27)=5,C27+5,IF(MIN(D27:D27)=4,C27+2.5,IF(MIN(D27:D27)=3,C27+1,"")))),IF(MIN(D27:D27)&gt;=6,C27+5,IF(MIN(D27:D27)=5,C27+2,IF(MIN(D27:D27)=4,C27+1,IF(MIN(D27:D27)=3,C27+0.5,""))))))</f>
        <v/>
      </c>
      <c r="F32" s="18" t="str">
        <f>IF(E32&lt;&gt;"","3-6","")</f>
        <v/>
      </c>
      <c r="G32" s="11"/>
      <c r="H32" s="30"/>
    </row>
    <row r="33" spans="1:8" x14ac:dyDescent="0.25">
      <c r="A33" s="29"/>
      <c r="B33" s="11"/>
      <c r="C33" s="11"/>
      <c r="D33" s="11"/>
      <c r="E33" s="11"/>
      <c r="F33" s="11"/>
      <c r="G33" s="11"/>
      <c r="H33" s="30"/>
    </row>
    <row r="34" spans="1:8" ht="15.75" thickBot="1" x14ac:dyDescent="0.3">
      <c r="A34" s="37" t="s">
        <v>4</v>
      </c>
      <c r="B34" s="36"/>
      <c r="C34" s="33"/>
      <c r="D34" s="33"/>
      <c r="E34" s="33"/>
      <c r="F34" s="33"/>
      <c r="G34" s="33"/>
      <c r="H34" s="34"/>
    </row>
    <row r="36" spans="1:8" x14ac:dyDescent="0.25">
      <c r="A36" s="83" t="s">
        <v>44</v>
      </c>
    </row>
    <row r="37" spans="1:8" x14ac:dyDescent="0.25">
      <c r="A37" s="83"/>
    </row>
    <row r="38" spans="1:8" x14ac:dyDescent="0.25">
      <c r="A38" s="83" t="s">
        <v>45</v>
      </c>
    </row>
  </sheetData>
  <mergeCells count="10">
    <mergeCell ref="B19:B26"/>
    <mergeCell ref="C19:C21"/>
    <mergeCell ref="B27:B32"/>
    <mergeCell ref="A1:H1"/>
    <mergeCell ref="B12:B18"/>
    <mergeCell ref="B10:F10"/>
    <mergeCell ref="A2:H2"/>
    <mergeCell ref="B7:F7"/>
    <mergeCell ref="C12:C13"/>
    <mergeCell ref="C8:F8"/>
  </mergeCells>
  <hyperlinks>
    <hyperlink ref="A1" r:id="rId1"/>
  </hyperlinks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opLeftCell="A6" zoomScaleNormal="100" workbookViewId="0">
      <selection activeCell="L24" sqref="L24"/>
    </sheetView>
  </sheetViews>
  <sheetFormatPr defaultColWidth="9.140625" defaultRowHeight="15" x14ac:dyDescent="0.25"/>
  <cols>
    <col min="1" max="1" width="9.140625" style="28"/>
    <col min="2" max="2" width="7.42578125" style="28" customWidth="1"/>
    <col min="3" max="3" width="9.5703125" style="28" customWidth="1"/>
    <col min="4" max="4" width="23.7109375" style="28" customWidth="1"/>
    <col min="5" max="5" width="6.28515625" style="28" customWidth="1"/>
    <col min="6" max="6" width="24.85546875" style="28" customWidth="1"/>
    <col min="7" max="7" width="6.28515625" style="28" customWidth="1"/>
    <col min="8" max="8" width="6.7109375" style="28" bestFit="1" customWidth="1"/>
    <col min="9" max="9" width="9.5703125" style="28" customWidth="1"/>
    <col min="10" max="10" width="23.7109375" style="28" customWidth="1"/>
    <col min="11" max="11" width="6.28515625" style="28" customWidth="1"/>
    <col min="12" max="12" width="24.85546875" style="28" customWidth="1"/>
    <col min="13" max="13" width="6.28515625" style="28" customWidth="1"/>
    <col min="14" max="14" width="13.5703125" style="28" bestFit="1" customWidth="1"/>
    <col min="15" max="15" width="5.28515625" style="28" customWidth="1"/>
    <col min="16" max="16384" width="9.140625" style="28"/>
  </cols>
  <sheetData>
    <row r="1" spans="1:16" ht="92.45" thickBot="1" x14ac:dyDescent="1.7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6" ht="18" x14ac:dyDescent="0.3">
      <c r="A2" s="109" t="s">
        <v>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</row>
    <row r="3" spans="1:16" ht="14.45" x14ac:dyDescent="0.3">
      <c r="A3" s="54" t="s">
        <v>8</v>
      </c>
      <c r="B3" s="35"/>
      <c r="C3" s="35"/>
      <c r="D3" s="11"/>
      <c r="E3" s="11"/>
      <c r="F3" s="11"/>
      <c r="G3" s="11"/>
      <c r="H3" s="11"/>
      <c r="I3" s="11"/>
      <c r="J3" s="11"/>
      <c r="K3" s="11"/>
      <c r="L3" s="11"/>
      <c r="M3" s="11"/>
      <c r="N3" s="30"/>
    </row>
    <row r="4" spans="1:16" ht="14.45" x14ac:dyDescent="0.3">
      <c r="A4" s="54" t="s">
        <v>9</v>
      </c>
      <c r="B4" s="35"/>
      <c r="C4" s="35"/>
      <c r="D4" s="11"/>
      <c r="E4" s="11"/>
      <c r="F4" s="11"/>
      <c r="G4" s="11"/>
      <c r="H4" s="11"/>
      <c r="I4" s="11"/>
      <c r="J4" s="11"/>
      <c r="K4" s="11"/>
      <c r="L4" s="11"/>
      <c r="M4" s="11"/>
      <c r="N4" s="30"/>
    </row>
    <row r="5" spans="1:16" ht="14.45" x14ac:dyDescent="0.3">
      <c r="A5" s="54" t="s">
        <v>3</v>
      </c>
      <c r="B5" s="35"/>
      <c r="C5" s="35"/>
      <c r="D5" s="11"/>
      <c r="E5" s="11"/>
      <c r="F5" s="11"/>
      <c r="G5" s="11"/>
      <c r="H5" s="11"/>
      <c r="I5" s="11"/>
      <c r="J5" s="11"/>
      <c r="K5" s="11"/>
      <c r="L5" s="11"/>
      <c r="M5" s="11"/>
      <c r="N5" s="30"/>
    </row>
    <row r="6" spans="1:16" thickBot="1" x14ac:dyDescent="0.35">
      <c r="A6" s="29"/>
      <c r="B6" s="11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30"/>
    </row>
    <row r="7" spans="1:16" thickBot="1" x14ac:dyDescent="0.35">
      <c r="A7" s="29"/>
      <c r="B7" s="11"/>
      <c r="C7" s="112" t="s">
        <v>12</v>
      </c>
      <c r="D7" s="113"/>
      <c r="E7" s="113"/>
      <c r="F7" s="113"/>
      <c r="G7" s="114"/>
      <c r="H7" s="11"/>
      <c r="I7" s="11"/>
      <c r="J7" s="11"/>
      <c r="K7" s="11"/>
      <c r="L7" s="11"/>
      <c r="M7" s="11"/>
      <c r="N7" s="30"/>
    </row>
    <row r="8" spans="1:16" thickBot="1" x14ac:dyDescent="0.35">
      <c r="A8" s="29"/>
      <c r="B8" s="11"/>
      <c r="C8" s="21" t="s">
        <v>11</v>
      </c>
      <c r="D8" s="115">
        <v>1</v>
      </c>
      <c r="E8" s="116"/>
      <c r="F8" s="116"/>
      <c r="G8" s="117"/>
      <c r="H8" s="11"/>
      <c r="I8" s="11"/>
      <c r="J8" s="11"/>
      <c r="K8" s="11"/>
      <c r="L8" s="11"/>
      <c r="M8" s="11"/>
      <c r="N8" s="30"/>
    </row>
    <row r="9" spans="1:16" thickBot="1" x14ac:dyDescent="0.35">
      <c r="A9" s="29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30"/>
    </row>
    <row r="10" spans="1:16" ht="15.75" customHeight="1" thickBot="1" x14ac:dyDescent="0.35">
      <c r="A10" s="29"/>
      <c r="B10" s="123" t="s">
        <v>14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5"/>
      <c r="N10" s="30"/>
    </row>
    <row r="11" spans="1:16" ht="18" thickBot="1" x14ac:dyDescent="0.35">
      <c r="A11" s="29"/>
      <c r="B11" s="118" t="s">
        <v>18</v>
      </c>
      <c r="C11" s="12" t="s">
        <v>0</v>
      </c>
      <c r="D11" s="58" t="s">
        <v>7</v>
      </c>
      <c r="E11" s="57" t="s">
        <v>1</v>
      </c>
      <c r="F11" s="57" t="s">
        <v>6</v>
      </c>
      <c r="G11" s="56" t="s">
        <v>1</v>
      </c>
      <c r="H11" s="126" t="s">
        <v>5</v>
      </c>
      <c r="I11" s="57" t="s">
        <v>0</v>
      </c>
      <c r="J11" s="57" t="s">
        <v>7</v>
      </c>
      <c r="K11" s="57" t="s">
        <v>1</v>
      </c>
      <c r="L11" s="57" t="s">
        <v>6</v>
      </c>
      <c r="M11" s="59" t="s">
        <v>1</v>
      </c>
      <c r="N11" s="30"/>
    </row>
    <row r="12" spans="1:16" ht="15.75" customHeight="1" thickBot="1" x14ac:dyDescent="0.3">
      <c r="A12" s="29"/>
      <c r="B12" s="118"/>
      <c r="C12" s="103" t="s">
        <v>17</v>
      </c>
      <c r="D12" s="96"/>
      <c r="E12" s="38"/>
      <c r="F12" s="51" t="str">
        <f>(IF(F17&lt;&gt;"",MROUND(F17*0.3,5),""))</f>
        <v/>
      </c>
      <c r="G12" s="3" t="str">
        <f>IF(F12&lt;&gt;"",5,"")</f>
        <v/>
      </c>
      <c r="H12" s="118"/>
      <c r="I12" s="120" t="s">
        <v>19</v>
      </c>
      <c r="J12" s="96"/>
      <c r="K12" s="7"/>
      <c r="L12" s="27" t="str">
        <f>(IF(L17&lt;&gt;"",MROUND(L17*0.3,5),""))</f>
        <v/>
      </c>
      <c r="M12" s="3" t="str">
        <f>IF(L12&lt;&gt;"",5,"")</f>
        <v/>
      </c>
      <c r="N12" s="30"/>
      <c r="P12" s="31"/>
    </row>
    <row r="13" spans="1:16" ht="19.5" customHeight="1" thickBot="1" x14ac:dyDescent="0.3">
      <c r="A13" s="29"/>
      <c r="B13" s="118"/>
      <c r="C13" s="104"/>
      <c r="D13" s="97"/>
      <c r="E13" s="15"/>
      <c r="F13" s="27" t="str">
        <f>(IF(F17&lt;&gt;"",MROUND(F17*0.5,5),""))</f>
        <v/>
      </c>
      <c r="G13" s="3" t="str">
        <f>IF(F13&lt;&gt;"",5,"")</f>
        <v/>
      </c>
      <c r="H13" s="118"/>
      <c r="I13" s="121"/>
      <c r="J13" s="98"/>
      <c r="K13" s="15"/>
      <c r="L13" s="27" t="str">
        <f>(IF(L17&lt;&gt;"",MROUND(L17*0.5,5),""))</f>
        <v/>
      </c>
      <c r="M13" s="3" t="str">
        <f>IF(L13&lt;&gt;"",5,"")</f>
        <v/>
      </c>
      <c r="N13" s="30"/>
      <c r="P13" s="31"/>
    </row>
    <row r="14" spans="1:16" ht="19.5" customHeight="1" thickBot="1" x14ac:dyDescent="0.3">
      <c r="A14" s="29"/>
      <c r="B14" s="118"/>
      <c r="C14" s="104"/>
      <c r="D14" s="98"/>
      <c r="E14" s="15"/>
      <c r="F14" s="27" t="str">
        <f>(IF(F17&lt;&gt;"",MROUND(F17*0.7,5),""))</f>
        <v/>
      </c>
      <c r="G14" s="3" t="str">
        <f>IF(F14&lt;&gt;"",3,"")</f>
        <v/>
      </c>
      <c r="H14" s="118"/>
      <c r="I14" s="121"/>
      <c r="J14" s="40"/>
      <c r="K14" s="40"/>
      <c r="L14" s="27" t="str">
        <f>(IF(L17&lt;&gt;"",MROUND(L17*0.7,5),""))</f>
        <v/>
      </c>
      <c r="M14" s="3" t="str">
        <f>IF(L14&lt;&gt;"",3,"")</f>
        <v/>
      </c>
      <c r="N14" s="30"/>
      <c r="P14" s="31"/>
    </row>
    <row r="15" spans="1:16" ht="18.75" customHeight="1" x14ac:dyDescent="0.25">
      <c r="A15" s="29"/>
      <c r="B15" s="118"/>
      <c r="C15" s="104"/>
      <c r="D15" s="14"/>
      <c r="E15" s="26"/>
      <c r="F15" s="27" t="str">
        <f>(IF(F17&lt;&gt;"",MROUND(F17*0.8,5),""))</f>
        <v/>
      </c>
      <c r="G15" s="3" t="str">
        <f>IF(F15&lt;&gt;"",2,"")</f>
        <v/>
      </c>
      <c r="H15" s="118"/>
      <c r="I15" s="121"/>
      <c r="J15" s="40"/>
      <c r="K15" s="40"/>
      <c r="L15" s="27" t="str">
        <f>(IF(L17&lt;&gt;"",MROUND(L17*0.8,5),""))</f>
        <v/>
      </c>
      <c r="M15" s="3" t="str">
        <f>IF(L15&lt;&gt;"",2,"")</f>
        <v/>
      </c>
      <c r="N15" s="30"/>
      <c r="P15" s="31"/>
    </row>
    <row r="16" spans="1:16" ht="18.75" customHeight="1" x14ac:dyDescent="0.25">
      <c r="A16" s="29"/>
      <c r="B16" s="118"/>
      <c r="C16" s="104"/>
      <c r="D16" s="14"/>
      <c r="E16" s="26"/>
      <c r="F16" s="27" t="str">
        <f>(IF(F17&lt;&gt;"",MROUND(F17*0.9,5),""))</f>
        <v/>
      </c>
      <c r="G16" s="3" t="str">
        <f>IF(F16&lt;&gt;"",1,"")</f>
        <v/>
      </c>
      <c r="H16" s="118"/>
      <c r="I16" s="121"/>
      <c r="J16" s="40"/>
      <c r="K16" s="40"/>
      <c r="L16" s="27" t="str">
        <f>(IF(L17&lt;&gt;"",MROUND(L17*0.9,5),""))</f>
        <v/>
      </c>
      <c r="M16" s="3" t="str">
        <f>IF(L16&lt;&gt;"",1,"")</f>
        <v/>
      </c>
      <c r="N16" s="30"/>
      <c r="P16" s="31"/>
    </row>
    <row r="17" spans="1:16" ht="18.75" customHeight="1" x14ac:dyDescent="0.25">
      <c r="A17" s="29"/>
      <c r="B17" s="118"/>
      <c r="C17" s="104"/>
      <c r="D17" s="40"/>
      <c r="E17" s="32"/>
      <c r="F17" s="27" t="str">
        <f>IF(D12="","",IF($D$8=1,IF(MIN(E12:E14)&gt;=6,D12+5,IF(MIN(E12:E14)=5,D12+2.5,IF(MIN(E12:E14)=4,D12+2.5,IF(MIN(E12:E14)=3,D12+1,"")))),IF(MIN(E12:E14)&gt;=6,D12+2,IF(MIN(E12:E14)=5,D12+1,IF(MIN(E12:E14)=4,D12+1,IF(MIN(E12:E14)=3,D12+0.5,""))))))</f>
        <v/>
      </c>
      <c r="G17" s="17" t="str">
        <f>IF(F17&lt;&gt;"","3-6","")</f>
        <v/>
      </c>
      <c r="H17" s="118"/>
      <c r="I17" s="121"/>
      <c r="J17" s="40"/>
      <c r="K17" s="40"/>
      <c r="L17" s="27" t="str">
        <f>IF(J12="","",IF($D$8=1,IF(MIN(K12:K13)&gt;=6,J12+5,IF(MIN(K12:K13)=5,J12+2.5,IF(MIN(K12:K13)=4,J12+2.5,IF(MIN(K12:K13)=3,J12+1,"")))),IF(MIN(K12:K13)&gt;=6,J12+2,IF(MIN(K12:K13)=5,J12+1,IF(MIN(K12:K13)=4,J12+1,IF(MIN(K12:K13)=3,J12+0.5,""))))))</f>
        <v/>
      </c>
      <c r="M17" s="17" t="str">
        <f>IF(L17&lt;&gt;"","3-6","")</f>
        <v/>
      </c>
      <c r="N17" s="30"/>
      <c r="P17" s="31"/>
    </row>
    <row r="18" spans="1:16" ht="18.75" customHeight="1" thickBot="1" x14ac:dyDescent="0.3">
      <c r="A18" s="29"/>
      <c r="B18" s="118"/>
      <c r="C18" s="104"/>
      <c r="D18" s="40"/>
      <c r="E18" s="32"/>
      <c r="F18" s="27" t="str">
        <f>IF(F17&lt;&gt;"",F17,"")</f>
        <v/>
      </c>
      <c r="G18" s="17" t="str">
        <f>IF(F18&lt;&gt;"","3-6","")</f>
        <v/>
      </c>
      <c r="H18" s="118"/>
      <c r="I18" s="122"/>
      <c r="J18" s="40"/>
      <c r="K18" s="40"/>
      <c r="L18" s="19" t="str">
        <f>IF(L17&lt;&gt;"",L17,"")</f>
        <v/>
      </c>
      <c r="M18" s="18" t="str">
        <f>IF(L18&lt;&gt;"","3-6","")</f>
        <v/>
      </c>
      <c r="N18" s="30"/>
      <c r="P18" s="31"/>
    </row>
    <row r="19" spans="1:16" ht="19.5" customHeight="1" thickBot="1" x14ac:dyDescent="0.3">
      <c r="A19" s="29"/>
      <c r="B19" s="118"/>
      <c r="C19" s="104"/>
      <c r="D19" s="40"/>
      <c r="E19" s="32"/>
      <c r="F19" s="45" t="str">
        <f>IF(F17&lt;&gt;"",F17,"")</f>
        <v/>
      </c>
      <c r="G19" s="46" t="str">
        <f>IF(F19&lt;&gt;"","3-6","")</f>
        <v/>
      </c>
      <c r="H19" s="118"/>
      <c r="I19" s="120" t="s">
        <v>20</v>
      </c>
      <c r="J19" s="96"/>
      <c r="K19" s="7"/>
      <c r="L19" s="27" t="str">
        <f>(IF(L24&lt;&gt;"",MROUND(L24*0.3,5),""))</f>
        <v/>
      </c>
      <c r="M19" s="3" t="str">
        <f>IF(L19&lt;&gt;"",5,"")</f>
        <v/>
      </c>
      <c r="N19" s="30"/>
      <c r="P19" s="31"/>
    </row>
    <row r="20" spans="1:16" ht="15.75" customHeight="1" thickBot="1" x14ac:dyDescent="0.3">
      <c r="A20" s="29"/>
      <c r="B20" s="118"/>
      <c r="C20" s="93" t="s">
        <v>16</v>
      </c>
      <c r="D20" s="96"/>
      <c r="E20" s="38"/>
      <c r="F20" s="52" t="str">
        <f>(IF(F25&lt;&gt;"",MROUND(F25*0.3,5),""))</f>
        <v/>
      </c>
      <c r="G20" s="39" t="str">
        <f>IF(F20&lt;&gt;"",5,"")</f>
        <v/>
      </c>
      <c r="H20" s="118"/>
      <c r="I20" s="121"/>
      <c r="J20" s="98"/>
      <c r="K20" s="15"/>
      <c r="L20" s="27" t="str">
        <f>(IF(L24&lt;&gt;"",MROUND(L24*0.5,5),""))</f>
        <v/>
      </c>
      <c r="M20" s="3" t="str">
        <f>IF(L20&lt;&gt;"",5,"")</f>
        <v/>
      </c>
      <c r="N20" s="30"/>
    </row>
    <row r="21" spans="1:16" ht="19.5" customHeight="1" thickBot="1" x14ac:dyDescent="0.3">
      <c r="A21" s="29"/>
      <c r="B21" s="118"/>
      <c r="C21" s="94"/>
      <c r="D21" s="97"/>
      <c r="E21" s="15"/>
      <c r="F21" s="27" t="str">
        <f>(IF(F25&lt;&gt;"",MROUND(F25*0.5,5),""))</f>
        <v/>
      </c>
      <c r="G21" s="3" t="str">
        <f>IF(F21&lt;&gt;"",5,"")</f>
        <v/>
      </c>
      <c r="H21" s="118"/>
      <c r="I21" s="121"/>
      <c r="J21" s="40"/>
      <c r="K21" s="40"/>
      <c r="L21" s="27" t="str">
        <f>(IF(L24&lt;&gt;"",MROUND(L24*0.7,5),""))</f>
        <v/>
      </c>
      <c r="M21" s="3" t="str">
        <f>IF(L21&lt;&gt;"",3,"")</f>
        <v/>
      </c>
      <c r="N21" s="30"/>
    </row>
    <row r="22" spans="1:16" ht="19.5" customHeight="1" thickBot="1" x14ac:dyDescent="0.3">
      <c r="A22" s="29"/>
      <c r="B22" s="118"/>
      <c r="C22" s="94"/>
      <c r="D22" s="97"/>
      <c r="E22" s="15"/>
      <c r="F22" s="27" t="str">
        <f>(IF(F25&lt;&gt;"",MROUND(F25*0.7,5),""))</f>
        <v/>
      </c>
      <c r="G22" s="3" t="str">
        <f>IF(F22&lt;&gt;"",3,"")</f>
        <v/>
      </c>
      <c r="H22" s="118"/>
      <c r="I22" s="121"/>
      <c r="J22" s="40"/>
      <c r="K22" s="40"/>
      <c r="L22" s="27" t="str">
        <f>(IF(L24&lt;&gt;"",MROUND(L24*0.8,5),""))</f>
        <v/>
      </c>
      <c r="M22" s="3" t="str">
        <f>IF(L22&lt;&gt;"",2,"")</f>
        <v/>
      </c>
      <c r="N22" s="30"/>
    </row>
    <row r="23" spans="1:16" ht="19.5" customHeight="1" thickBot="1" x14ac:dyDescent="0.3">
      <c r="A23" s="29"/>
      <c r="B23" s="118"/>
      <c r="C23" s="94"/>
      <c r="D23" s="97"/>
      <c r="E23" s="15"/>
      <c r="F23" s="27" t="str">
        <f>(IF(F25&lt;&gt;"",MROUND(F25*0.8,5),""))</f>
        <v/>
      </c>
      <c r="G23" s="3" t="str">
        <f>IF(F23&lt;&gt;"",2,"")</f>
        <v/>
      </c>
      <c r="H23" s="118"/>
      <c r="I23" s="121"/>
      <c r="J23" s="40"/>
      <c r="K23" s="40"/>
      <c r="L23" s="27" t="str">
        <f>(IF(L24&lt;&gt;"",MROUND(L24*0.9,5),""))</f>
        <v/>
      </c>
      <c r="M23" s="3" t="str">
        <f>IF(L23&lt;&gt;"",1,"")</f>
        <v/>
      </c>
      <c r="N23" s="30"/>
    </row>
    <row r="24" spans="1:16" ht="19.5" customHeight="1" thickBot="1" x14ac:dyDescent="0.3">
      <c r="A24" s="29"/>
      <c r="B24" s="118"/>
      <c r="C24" s="94"/>
      <c r="D24" s="98"/>
      <c r="E24" s="15"/>
      <c r="F24" s="27" t="str">
        <f>(IF(F25&lt;&gt;"",MROUND(F25*0.9,5),""))</f>
        <v/>
      </c>
      <c r="G24" s="3" t="str">
        <f>IF(F24&lt;&gt;"",1,"")</f>
        <v/>
      </c>
      <c r="H24" s="118"/>
      <c r="I24" s="121"/>
      <c r="J24" s="40"/>
      <c r="K24" s="40"/>
      <c r="L24" s="27" t="str">
        <f>IF(J19="","",IF($D$8=1,IF(MIN(K19:K20)&gt;=6,J19+5,IF(MIN(K19:K20)=5,J19+2.5,IF(MIN(K19:K20)=4,J19+2.5,IF(MIN(K19:K20)=3,J19+1,"")))),IF(MIN(K19:K20)&gt;=6,J19+2,IF(MIN(K19:K20)=5,J19+1,IF(MIN(K19:K20)=4,J19+1,IF(MIN(K19:K20)=3,J19+0.5,""))))))</f>
        <v/>
      </c>
      <c r="M24" s="17" t="str">
        <f>IF(L24&lt;&gt;"","3-6","")</f>
        <v/>
      </c>
      <c r="N24" s="30"/>
    </row>
    <row r="25" spans="1:16" ht="15.75" customHeight="1" thickBot="1" x14ac:dyDescent="0.3">
      <c r="A25" s="29"/>
      <c r="B25" s="118"/>
      <c r="C25" s="94"/>
      <c r="D25" s="40"/>
      <c r="E25" s="32"/>
      <c r="F25" s="27" t="str">
        <f>IF(D20="","",IF($D$8=1,IF(MIN(E20:E22)&gt;=6,D20+5,IF(MIN(E20:E22)=5,D20+2.5,IF(MIN(E20:E22)=4,D20+2.5,IF(MIN(E20:E22)=3,D20+1,"")))),IF(MIN(E20:E22)&gt;=6,D20+2.5,IF(MIN(E20:E22)=5,D20+1,IF(MIN(E20:E22)=4,D20+1,IF(MIN(E20:E22)=3,D20+0.5,""))))))</f>
        <v/>
      </c>
      <c r="G25" s="17" t="str">
        <f>IF(F25&lt;&gt;"","3-6","")</f>
        <v/>
      </c>
      <c r="H25" s="119"/>
      <c r="I25" s="122"/>
      <c r="J25" s="47"/>
      <c r="K25" s="47"/>
      <c r="L25" s="19" t="str">
        <f>IF(L24&lt;&gt;"",L24,"")</f>
        <v/>
      </c>
      <c r="M25" s="18" t="str">
        <f>IF(L25&lt;&gt;"","3-6","")</f>
        <v/>
      </c>
      <c r="N25" s="30"/>
    </row>
    <row r="26" spans="1:16" x14ac:dyDescent="0.25">
      <c r="A26" s="29"/>
      <c r="B26" s="118"/>
      <c r="C26" s="94"/>
      <c r="D26" s="40"/>
      <c r="E26" s="32"/>
      <c r="F26" s="27" t="str">
        <f>IF(F25&lt;&gt;"",F25,"")</f>
        <v/>
      </c>
      <c r="G26" s="17" t="str">
        <f>IF(F26&lt;&gt;"","3-6","")</f>
        <v/>
      </c>
      <c r="H26" s="11"/>
      <c r="I26" s="11"/>
      <c r="J26" s="11"/>
      <c r="K26" s="11"/>
      <c r="L26" s="11"/>
      <c r="M26" s="11"/>
      <c r="N26" s="30"/>
    </row>
    <row r="27" spans="1:16" x14ac:dyDescent="0.25">
      <c r="A27" s="29"/>
      <c r="B27" s="118"/>
      <c r="C27" s="94"/>
      <c r="D27" s="40"/>
      <c r="E27" s="40"/>
      <c r="F27" s="27" t="str">
        <f>IF(F25&lt;&gt;"",F25,"")</f>
        <v/>
      </c>
      <c r="G27" s="17" t="str">
        <f>IF(F27&lt;&gt;"","3-6","")</f>
        <v/>
      </c>
      <c r="H27" s="11"/>
      <c r="I27" s="11"/>
      <c r="J27" s="11"/>
      <c r="K27" s="11"/>
      <c r="L27" s="11"/>
      <c r="M27" s="11"/>
      <c r="N27" s="30"/>
    </row>
    <row r="28" spans="1:16" x14ac:dyDescent="0.25">
      <c r="A28" s="29"/>
      <c r="B28" s="118"/>
      <c r="C28" s="94"/>
      <c r="D28" s="40"/>
      <c r="E28" s="40"/>
      <c r="F28" s="27" t="str">
        <f>IF(F25&lt;&gt;"",F25,"")</f>
        <v/>
      </c>
      <c r="G28" s="17" t="str">
        <f>IF(F28&lt;&gt;"","3-6","")</f>
        <v/>
      </c>
      <c r="H28" s="11"/>
      <c r="I28" s="11"/>
      <c r="J28" s="11"/>
      <c r="K28" s="11"/>
      <c r="L28" s="11"/>
      <c r="M28" s="11"/>
      <c r="N28" s="30"/>
    </row>
    <row r="29" spans="1:16" ht="15.75" thickBot="1" x14ac:dyDescent="0.3">
      <c r="A29" s="29"/>
      <c r="B29" s="118"/>
      <c r="C29" s="95"/>
      <c r="D29" s="41"/>
      <c r="E29" s="8"/>
      <c r="F29" s="19" t="str">
        <f>IF(F25&lt;&gt;"",F25,"")</f>
        <v/>
      </c>
      <c r="G29" s="18" t="str">
        <f>IF(F29&lt;&gt;"","3-6","")</f>
        <v/>
      </c>
      <c r="H29" s="11"/>
      <c r="I29" s="11"/>
      <c r="J29" s="11"/>
      <c r="K29" s="11"/>
      <c r="L29" s="11"/>
      <c r="M29" s="11"/>
      <c r="N29" s="30"/>
    </row>
    <row r="30" spans="1:16" ht="15.75" customHeight="1" thickBot="1" x14ac:dyDescent="0.3">
      <c r="A30" s="29"/>
      <c r="B30" s="118"/>
      <c r="C30" s="104" t="s">
        <v>15</v>
      </c>
      <c r="D30" s="96"/>
      <c r="E30" s="15"/>
      <c r="F30" s="51" t="str">
        <f>(IF(F35&lt;&gt;"",MROUND(F35*0.3,5),""))</f>
        <v/>
      </c>
      <c r="G30" s="10" t="str">
        <f>IF(F30&lt;&gt;"",5,"")</f>
        <v/>
      </c>
      <c r="H30" s="11"/>
      <c r="I30" s="11"/>
      <c r="J30" s="11"/>
      <c r="K30" s="11"/>
      <c r="L30" s="11"/>
      <c r="M30" s="11"/>
      <c r="N30" s="30"/>
    </row>
    <row r="31" spans="1:16" ht="15.75" customHeight="1" thickBot="1" x14ac:dyDescent="0.3">
      <c r="A31" s="29"/>
      <c r="B31" s="118"/>
      <c r="C31" s="104"/>
      <c r="D31" s="98"/>
      <c r="E31" s="15"/>
      <c r="F31" s="27" t="str">
        <f>(IF(F35&lt;&gt;"",MROUND(F35*0.5,5),""))</f>
        <v/>
      </c>
      <c r="G31" s="3" t="str">
        <f>IF(F31&lt;&gt;"",5,"")</f>
        <v/>
      </c>
      <c r="H31" s="11"/>
      <c r="I31" s="11"/>
      <c r="J31" s="11"/>
      <c r="K31" s="11"/>
      <c r="L31" s="11"/>
      <c r="M31" s="11"/>
      <c r="N31" s="30"/>
    </row>
    <row r="32" spans="1:16" ht="15.75" customHeight="1" x14ac:dyDescent="0.25">
      <c r="A32" s="29"/>
      <c r="B32" s="118"/>
      <c r="C32" s="104"/>
      <c r="D32" s="23"/>
      <c r="E32" s="25"/>
      <c r="F32" s="27" t="str">
        <f>(IF(F35&lt;&gt;"",MROUND(F35*0.7,5),""))</f>
        <v/>
      </c>
      <c r="G32" s="3" t="str">
        <f>IF(F32&lt;&gt;"",3,"")</f>
        <v/>
      </c>
      <c r="H32" s="11"/>
      <c r="I32" s="11"/>
      <c r="J32" s="11"/>
      <c r="K32" s="11"/>
      <c r="L32" s="11"/>
      <c r="M32" s="11"/>
      <c r="N32" s="30"/>
    </row>
    <row r="33" spans="1:14" ht="15.75" customHeight="1" x14ac:dyDescent="0.25">
      <c r="A33" s="29"/>
      <c r="B33" s="118"/>
      <c r="C33" s="104"/>
      <c r="D33" s="14"/>
      <c r="E33" s="26"/>
      <c r="F33" s="27" t="str">
        <f>(IF(F35&lt;&gt;"",MROUND(F35*0.8,5),""))</f>
        <v/>
      </c>
      <c r="G33" s="3" t="str">
        <f>IF(F33&lt;&gt;"",2,"")</f>
        <v/>
      </c>
      <c r="H33" s="11"/>
      <c r="I33" s="11"/>
      <c r="J33" s="11"/>
      <c r="K33" s="11"/>
      <c r="L33" s="11"/>
      <c r="M33" s="11"/>
      <c r="N33" s="30"/>
    </row>
    <row r="34" spans="1:14" ht="15.75" customHeight="1" x14ac:dyDescent="0.25">
      <c r="A34" s="29"/>
      <c r="B34" s="118"/>
      <c r="C34" s="104"/>
      <c r="D34" s="14"/>
      <c r="E34" s="26"/>
      <c r="F34" s="27" t="str">
        <f>(IF(F35&lt;&gt;"",MROUND(F35*0.9,5),""))</f>
        <v/>
      </c>
      <c r="G34" s="3" t="str">
        <f>IF(F34&lt;&gt;"",1,"")</f>
        <v/>
      </c>
      <c r="H34" s="11"/>
      <c r="I34" s="11"/>
      <c r="J34" s="11"/>
      <c r="K34" s="11"/>
      <c r="L34" s="11"/>
      <c r="M34" s="11"/>
      <c r="N34" s="30"/>
    </row>
    <row r="35" spans="1:14" ht="15.75" customHeight="1" x14ac:dyDescent="0.25">
      <c r="A35" s="29"/>
      <c r="B35" s="118"/>
      <c r="C35" s="104"/>
      <c r="D35" s="40"/>
      <c r="E35" s="32"/>
      <c r="F35" s="27" t="str">
        <f>IF(D30="","",IF($D$8=1,IF(MIN(E30:E31)&gt;=6,D30+5,IF(MIN(E30:E31)=5,D30+2.5,IF(MIN(E30:E31)=4,D30+2.5,IF(MIN(E30:E31)=3,D30+1,"")))),IF(MIN(E30:E31)&gt;=6,D30+2,IF(MIN(E30:E31)=5,D30+1,IF(MIN(E30:E31)=4,D30+1,IF(MIN(E30:E31)=3,D30+0.5,""))))))</f>
        <v/>
      </c>
      <c r="G35" s="17" t="str">
        <f>IF(F35&lt;&gt;"","3-6","")</f>
        <v/>
      </c>
      <c r="H35" s="11"/>
      <c r="I35" s="11"/>
      <c r="J35" s="11"/>
      <c r="K35" s="11"/>
      <c r="L35" s="11"/>
      <c r="M35" s="11"/>
      <c r="N35" s="30"/>
    </row>
    <row r="36" spans="1:14" ht="15.75" customHeight="1" thickBot="1" x14ac:dyDescent="0.3">
      <c r="A36" s="29"/>
      <c r="B36" s="119"/>
      <c r="C36" s="105"/>
      <c r="D36" s="47"/>
      <c r="E36" s="55"/>
      <c r="F36" s="19" t="str">
        <f>IF(F35&lt;&gt;"",F35,"")</f>
        <v/>
      </c>
      <c r="G36" s="18" t="str">
        <f>IF(F36&lt;&gt;"","3-6","")</f>
        <v/>
      </c>
      <c r="H36" s="11"/>
      <c r="I36" s="11"/>
      <c r="J36" s="11"/>
      <c r="K36" s="11"/>
      <c r="L36" s="11"/>
      <c r="M36" s="11"/>
      <c r="N36" s="30"/>
    </row>
    <row r="37" spans="1:14" ht="15" customHeight="1" x14ac:dyDescent="0.25">
      <c r="A37" s="29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30"/>
    </row>
    <row r="38" spans="1:14" ht="15.75" customHeight="1" thickBot="1" x14ac:dyDescent="0.3">
      <c r="A38" s="37" t="s">
        <v>4</v>
      </c>
      <c r="B38" s="53"/>
      <c r="C38" s="36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4"/>
    </row>
    <row r="40" spans="1:14" x14ac:dyDescent="0.25">
      <c r="A40" s="83" t="s">
        <v>44</v>
      </c>
    </row>
    <row r="41" spans="1:14" x14ac:dyDescent="0.25">
      <c r="A41" s="83"/>
    </row>
    <row r="42" spans="1:14" x14ac:dyDescent="0.25">
      <c r="A42" s="83" t="s">
        <v>45</v>
      </c>
    </row>
  </sheetData>
  <mergeCells count="17">
    <mergeCell ref="A1:N1"/>
    <mergeCell ref="C20:C29"/>
    <mergeCell ref="C30:C36"/>
    <mergeCell ref="D12:D14"/>
    <mergeCell ref="D20:D24"/>
    <mergeCell ref="D30:D31"/>
    <mergeCell ref="A2:N2"/>
    <mergeCell ref="C7:G7"/>
    <mergeCell ref="D8:G8"/>
    <mergeCell ref="C12:C19"/>
    <mergeCell ref="B11:B36"/>
    <mergeCell ref="I12:I18"/>
    <mergeCell ref="I19:I25"/>
    <mergeCell ref="B10:M10"/>
    <mergeCell ref="H11:H25"/>
    <mergeCell ref="J12:J13"/>
    <mergeCell ref="J19:J20"/>
  </mergeCells>
  <hyperlinks>
    <hyperlink ref="A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opLeftCell="A11" zoomScaleNormal="100" workbookViewId="0">
      <selection activeCell="K24" sqref="K24"/>
    </sheetView>
  </sheetViews>
  <sheetFormatPr defaultColWidth="9.140625" defaultRowHeight="15" x14ac:dyDescent="0.25"/>
  <cols>
    <col min="1" max="1" width="9.140625" style="28"/>
    <col min="2" max="2" width="7.42578125" style="28" customWidth="1"/>
    <col min="3" max="3" width="9.5703125" style="28" customWidth="1"/>
    <col min="4" max="4" width="10.85546875" style="28" customWidth="1"/>
    <col min="5" max="5" width="6.28515625" style="28" customWidth="1"/>
    <col min="6" max="6" width="11.7109375" style="28" customWidth="1"/>
    <col min="7" max="7" width="6.28515625" style="28" customWidth="1"/>
    <col min="8" max="8" width="9.85546875" style="28" customWidth="1"/>
    <col min="9" max="9" width="6.7109375" style="28" bestFit="1" customWidth="1"/>
    <col min="10" max="10" width="9.5703125" style="28" customWidth="1"/>
    <col min="11" max="11" width="10.85546875" style="28" customWidth="1"/>
    <col min="12" max="12" width="6.28515625" style="28" customWidth="1"/>
    <col min="13" max="13" width="11.7109375" style="28" customWidth="1"/>
    <col min="14" max="14" width="6.28515625" style="28" customWidth="1"/>
    <col min="15" max="15" width="8.7109375" style="28" customWidth="1"/>
    <col min="16" max="16" width="13.5703125" style="28" bestFit="1" customWidth="1"/>
    <col min="17" max="17" width="5.28515625" style="28" customWidth="1"/>
    <col min="18" max="16384" width="9.140625" style="28"/>
  </cols>
  <sheetData>
    <row r="1" spans="1:18" ht="77.45" thickBot="1" x14ac:dyDescent="1.4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8" ht="18" x14ac:dyDescent="0.3">
      <c r="A2" s="109" t="s">
        <v>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8" ht="14.45" x14ac:dyDescent="0.3">
      <c r="A3" s="54" t="s">
        <v>8</v>
      </c>
      <c r="B3" s="35"/>
      <c r="C3" s="3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30"/>
    </row>
    <row r="4" spans="1:18" ht="14.45" x14ac:dyDescent="0.3">
      <c r="A4" s="54" t="s">
        <v>9</v>
      </c>
      <c r="B4" s="35"/>
      <c r="C4" s="35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30"/>
    </row>
    <row r="5" spans="1:18" ht="14.45" x14ac:dyDescent="0.3">
      <c r="A5" s="54" t="s">
        <v>43</v>
      </c>
      <c r="B5" s="35"/>
      <c r="C5" s="3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30"/>
    </row>
    <row r="6" spans="1:18" ht="14.45" x14ac:dyDescent="0.3">
      <c r="A6" s="80" t="s">
        <v>28</v>
      </c>
      <c r="B6" s="35"/>
      <c r="C6" s="3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30"/>
    </row>
    <row r="7" spans="1:18" ht="14.45" x14ac:dyDescent="0.3">
      <c r="A7" s="80" t="s">
        <v>25</v>
      </c>
      <c r="B7" s="35"/>
      <c r="C7" s="3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30"/>
    </row>
    <row r="8" spans="1:18" thickBot="1" x14ac:dyDescent="0.35">
      <c r="A8" s="29"/>
      <c r="B8" s="11"/>
      <c r="C8" s="2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30"/>
    </row>
    <row r="9" spans="1:18" thickBot="1" x14ac:dyDescent="0.35">
      <c r="A9" s="29"/>
      <c r="B9" s="11"/>
      <c r="C9" s="134" t="s">
        <v>12</v>
      </c>
      <c r="D9" s="113"/>
      <c r="E9" s="113"/>
      <c r="F9" s="113"/>
      <c r="G9" s="113"/>
      <c r="H9" s="113"/>
      <c r="I9" s="11"/>
      <c r="J9" s="11"/>
      <c r="K9" s="11"/>
      <c r="L9" s="11"/>
      <c r="M9" s="11"/>
      <c r="N9" s="11"/>
      <c r="O9" s="11"/>
      <c r="P9" s="30"/>
    </row>
    <row r="10" spans="1:18" thickBot="1" x14ac:dyDescent="0.35">
      <c r="A10" s="29"/>
      <c r="B10" s="11"/>
      <c r="C10" s="21" t="s">
        <v>11</v>
      </c>
      <c r="D10" s="115">
        <v>1</v>
      </c>
      <c r="E10" s="116"/>
      <c r="F10" s="116"/>
      <c r="G10" s="116"/>
      <c r="H10" s="116"/>
      <c r="I10" s="11"/>
      <c r="J10" s="11"/>
      <c r="K10" s="11"/>
      <c r="L10" s="11"/>
      <c r="M10" s="11"/>
      <c r="N10" s="11"/>
      <c r="O10" s="11"/>
      <c r="P10" s="30"/>
    </row>
    <row r="11" spans="1:18" thickBot="1" x14ac:dyDescent="0.35">
      <c r="A11" s="2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30"/>
    </row>
    <row r="12" spans="1:18" ht="18.600000000000001" thickBot="1" x14ac:dyDescent="0.35">
      <c r="A12" s="29"/>
      <c r="B12" s="123" t="s">
        <v>24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5"/>
      <c r="P12" s="30"/>
    </row>
    <row r="13" spans="1:18" ht="18" thickBot="1" x14ac:dyDescent="0.35">
      <c r="A13" s="29"/>
      <c r="B13" s="126" t="s">
        <v>18</v>
      </c>
      <c r="C13" s="2" t="s">
        <v>0</v>
      </c>
      <c r="D13" s="58" t="s">
        <v>23</v>
      </c>
      <c r="E13" s="58" t="s">
        <v>1</v>
      </c>
      <c r="F13" s="57" t="s">
        <v>22</v>
      </c>
      <c r="G13" s="59" t="s">
        <v>1</v>
      </c>
      <c r="H13" s="59" t="s">
        <v>21</v>
      </c>
      <c r="I13" s="131" t="s">
        <v>5</v>
      </c>
      <c r="J13" s="2" t="s">
        <v>0</v>
      </c>
      <c r="K13" s="58" t="s">
        <v>23</v>
      </c>
      <c r="L13" s="58" t="s">
        <v>1</v>
      </c>
      <c r="M13" s="57" t="s">
        <v>22</v>
      </c>
      <c r="N13" s="59" t="s">
        <v>1</v>
      </c>
      <c r="O13" s="59" t="s">
        <v>21</v>
      </c>
      <c r="P13" s="30"/>
    </row>
    <row r="14" spans="1:18" ht="15.75" thickBot="1" x14ac:dyDescent="0.3">
      <c r="A14" s="29"/>
      <c r="B14" s="118"/>
      <c r="C14" s="103" t="s">
        <v>17</v>
      </c>
      <c r="D14" s="7">
        <v>395</v>
      </c>
      <c r="E14" s="7">
        <v>6</v>
      </c>
      <c r="F14" s="51">
        <f>(IF(F19&lt;&gt;"",MROUND(F19*0.3,5),""))</f>
        <v>120</v>
      </c>
      <c r="G14" s="68">
        <f>IF(F14&lt;&gt;"",5,"")</f>
        <v>5</v>
      </c>
      <c r="H14" s="77"/>
      <c r="I14" s="132"/>
      <c r="J14" s="93" t="s">
        <v>19</v>
      </c>
      <c r="K14" s="7">
        <v>315</v>
      </c>
      <c r="L14" s="7">
        <v>6</v>
      </c>
      <c r="M14" s="51">
        <f>(IF(M19&lt;&gt;"",MROUND(M19*0.3,5),""))</f>
        <v>95</v>
      </c>
      <c r="N14" s="68">
        <f>IF(M14&lt;&gt;"",5,"")</f>
        <v>5</v>
      </c>
      <c r="O14" s="77"/>
      <c r="P14" s="30"/>
      <c r="R14" s="31"/>
    </row>
    <row r="15" spans="1:18" ht="15.75" thickBot="1" x14ac:dyDescent="0.3">
      <c r="A15" s="29"/>
      <c r="B15" s="118"/>
      <c r="C15" s="100"/>
      <c r="D15" s="66"/>
      <c r="E15" s="62"/>
      <c r="F15" s="6">
        <f>(IF(F19&lt;&gt;"",MROUND(F19*0.5,5),""))</f>
        <v>200</v>
      </c>
      <c r="G15" s="67">
        <f>IF(F15&lt;&gt;"",5,"")</f>
        <v>5</v>
      </c>
      <c r="H15" s="49"/>
      <c r="I15" s="132"/>
      <c r="J15" s="94"/>
      <c r="K15" s="66"/>
      <c r="L15" s="62"/>
      <c r="M15" s="6">
        <f>(IF(M19&lt;&gt;"",MROUND(M19*0.5,5),""))</f>
        <v>160</v>
      </c>
      <c r="N15" s="67">
        <f>IF(M15&lt;&gt;"",5,"")</f>
        <v>5</v>
      </c>
      <c r="O15" s="49"/>
      <c r="P15" s="30"/>
      <c r="R15" s="31"/>
    </row>
    <row r="16" spans="1:18" ht="15.75" thickBot="1" x14ac:dyDescent="0.3">
      <c r="A16" s="29"/>
      <c r="B16" s="118"/>
      <c r="C16" s="100"/>
      <c r="D16" s="61"/>
      <c r="E16" s="62"/>
      <c r="F16" s="6">
        <f>(IF(F19&lt;&gt;"",MROUND(F19*0.7,5),""))</f>
        <v>280</v>
      </c>
      <c r="G16" s="67">
        <f>IF(F16&lt;&gt;"",3,"")</f>
        <v>3</v>
      </c>
      <c r="H16" s="49"/>
      <c r="I16" s="132"/>
      <c r="J16" s="94"/>
      <c r="K16" s="61"/>
      <c r="L16" s="62"/>
      <c r="M16" s="6">
        <f>(IF(M19&lt;&gt;"",MROUND(M19*0.7,5),""))</f>
        <v>220</v>
      </c>
      <c r="N16" s="67">
        <f>IF(M16&lt;&gt;"",3,"")</f>
        <v>3</v>
      </c>
      <c r="O16" s="49"/>
      <c r="P16" s="30"/>
      <c r="R16" s="31"/>
    </row>
    <row r="17" spans="1:18" x14ac:dyDescent="0.25">
      <c r="A17" s="29"/>
      <c r="B17" s="118"/>
      <c r="C17" s="100"/>
      <c r="D17" s="5"/>
      <c r="E17" s="22"/>
      <c r="F17" s="6">
        <f>(IF(F19&lt;&gt;"",MROUND(F19*0.8,5),""))</f>
        <v>320</v>
      </c>
      <c r="G17" s="67">
        <f>IF(F17&lt;&gt;"",2,"")</f>
        <v>2</v>
      </c>
      <c r="H17" s="49"/>
      <c r="I17" s="132"/>
      <c r="J17" s="94"/>
      <c r="K17" s="5"/>
      <c r="L17" s="22"/>
      <c r="M17" s="6">
        <f>(IF(M19&lt;&gt;"",MROUND(M19*0.8,5),""))</f>
        <v>255</v>
      </c>
      <c r="N17" s="67">
        <f>IF(M17&lt;&gt;"",2,"")</f>
        <v>2</v>
      </c>
      <c r="O17" s="49"/>
      <c r="P17" s="30"/>
      <c r="R17" s="31"/>
    </row>
    <row r="18" spans="1:18" x14ac:dyDescent="0.25">
      <c r="A18" s="29"/>
      <c r="B18" s="118"/>
      <c r="C18" s="100"/>
      <c r="D18" s="5"/>
      <c r="E18" s="22"/>
      <c r="F18" s="6">
        <f>(IF(F19&lt;&gt;"",MROUND(F19*0.9,5),""))</f>
        <v>360</v>
      </c>
      <c r="G18" s="67">
        <f>IF(F18&lt;&gt;"",1,"")</f>
        <v>1</v>
      </c>
      <c r="H18" s="82" t="s">
        <v>26</v>
      </c>
      <c r="I18" s="132"/>
      <c r="J18" s="94"/>
      <c r="K18" s="5"/>
      <c r="L18" s="22"/>
      <c r="M18" s="6">
        <f>(IF(M19&lt;&gt;"",MROUND(M19*0.9,5),""))</f>
        <v>285</v>
      </c>
      <c r="N18" s="67">
        <f>IF(M18&lt;&gt;"",1,"")</f>
        <v>1</v>
      </c>
      <c r="O18" s="82" t="s">
        <v>27</v>
      </c>
      <c r="P18" s="30"/>
      <c r="R18" s="31"/>
    </row>
    <row r="19" spans="1:18" x14ac:dyDescent="0.25">
      <c r="A19" s="29"/>
      <c r="B19" s="118"/>
      <c r="C19" s="100"/>
      <c r="D19" s="63"/>
      <c r="E19" s="64"/>
      <c r="F19" s="6">
        <f>IF(D14="","",IF($D$10=1,IF(MIN(E14:E16)&gt;=6,D14+2.5,IF(MIN(E14:E16)=5,D14+2.5,IF(MIN(E14:E16)=4,D14+1,IF(MIN(E14:E16)=3,D14+1,"")))),IF(MIN(E14:E16)&gt;=6,D14+1,IF(MIN(E14:E16)=5,D14+1,IF(MIN(E14:E16)=4,D14+0.5,IF(MIN(E14:E16)=3,D14+0.5,""))))))</f>
        <v>397.5</v>
      </c>
      <c r="G19" s="69" t="str">
        <f>IF(F19&lt;&gt;"","3-6","")</f>
        <v>3-6</v>
      </c>
      <c r="H19" s="82" t="s">
        <v>42</v>
      </c>
      <c r="I19" s="132"/>
      <c r="J19" s="94"/>
      <c r="K19" s="63"/>
      <c r="L19" s="64"/>
      <c r="M19" s="6">
        <f>IF(K14="","",IF($D$10=1,IF(MIN(L14:L16)&gt;=6,K14+2.5,IF(MIN(L14:L16)=5,K14+2.5,IF(MIN(L14:L16)=4,K14+1,IF(MIN(L14:L16)=3,K14+1,"")))),IF(MIN(L14:L16)&gt;=6,K14+1,IF(MIN(L14:L16)=5,K14+1,IF(MIN(L14:L16)=4,K14+0.5,IF(MIN(L14:L16)=3,K14+0.5,""))))))</f>
        <v>317.5</v>
      </c>
      <c r="N19" s="69" t="str">
        <f>IF(M19&lt;&gt;"","3-6","")</f>
        <v>3-6</v>
      </c>
      <c r="O19" s="82" t="s">
        <v>47</v>
      </c>
      <c r="P19" s="30"/>
      <c r="R19" s="31"/>
    </row>
    <row r="20" spans="1:18" ht="15.75" thickBot="1" x14ac:dyDescent="0.3">
      <c r="A20" s="29"/>
      <c r="B20" s="118"/>
      <c r="C20" s="101"/>
      <c r="D20" s="65"/>
      <c r="E20" s="50"/>
      <c r="F20" s="73">
        <f>IF(F19&lt;&gt;"",MROUND(F19*0.955,5),"")</f>
        <v>380</v>
      </c>
      <c r="G20" s="74" t="str">
        <f>IF(F20&lt;&gt;"","3-6","")</f>
        <v>3-6</v>
      </c>
      <c r="H20" s="82" t="s">
        <v>37</v>
      </c>
      <c r="I20" s="132"/>
      <c r="J20" s="95"/>
      <c r="K20" s="65"/>
      <c r="L20" s="50"/>
      <c r="M20" s="73">
        <f>IF(M19&lt;&gt;"",M19,"")</f>
        <v>317.5</v>
      </c>
      <c r="N20" s="74" t="str">
        <f>IF(M20&lt;&gt;"","3-6","")</f>
        <v>3-6</v>
      </c>
      <c r="O20" s="78" t="s">
        <v>38</v>
      </c>
      <c r="P20" s="30"/>
      <c r="R20" s="31"/>
    </row>
    <row r="21" spans="1:18" ht="15.75" customHeight="1" thickBot="1" x14ac:dyDescent="0.3">
      <c r="A21" s="29"/>
      <c r="B21" s="118"/>
      <c r="C21" s="93" t="s">
        <v>16</v>
      </c>
      <c r="D21" s="38">
        <v>250</v>
      </c>
      <c r="E21" s="38">
        <v>5</v>
      </c>
      <c r="F21" s="52">
        <f>(IF(F26&lt;&gt;"",MROUND(F26*0.3,5),""))</f>
        <v>75</v>
      </c>
      <c r="G21" s="68">
        <f>IF(F21&lt;&gt;"",5,"")</f>
        <v>5</v>
      </c>
      <c r="H21" s="77"/>
      <c r="I21" s="132"/>
      <c r="J21" s="93" t="s">
        <v>20</v>
      </c>
      <c r="K21" s="7">
        <v>225</v>
      </c>
      <c r="L21" s="7">
        <v>6</v>
      </c>
      <c r="M21" s="51">
        <f>(IF(M26&lt;&gt;"",MROUND(M26*0.3,5),""))</f>
        <v>70</v>
      </c>
      <c r="N21" s="68">
        <f>IF(M21&lt;&gt;"",5,"")</f>
        <v>5</v>
      </c>
      <c r="O21" s="77"/>
      <c r="P21" s="30"/>
    </row>
    <row r="22" spans="1:18" ht="15.75" customHeight="1" thickBot="1" x14ac:dyDescent="0.3">
      <c r="A22" s="29"/>
      <c r="B22" s="118"/>
      <c r="C22" s="94"/>
      <c r="D22" s="66"/>
      <c r="E22" s="62"/>
      <c r="F22" s="6">
        <f>(IF(F26&lt;&gt;"",MROUND(F26*0.5,5),""))</f>
        <v>125</v>
      </c>
      <c r="G22" s="67">
        <f>IF(F22&lt;&gt;"",5,"")</f>
        <v>5</v>
      </c>
      <c r="H22" s="49"/>
      <c r="I22" s="132"/>
      <c r="J22" s="94"/>
      <c r="K22" s="66"/>
      <c r="L22" s="62"/>
      <c r="M22" s="6">
        <f>(IF(M26&lt;&gt;"",MROUND(M26*0.5,5),""))</f>
        <v>115</v>
      </c>
      <c r="N22" s="67">
        <f>IF(M22&lt;&gt;"",5,"")</f>
        <v>5</v>
      </c>
      <c r="O22" s="49"/>
      <c r="P22" s="30"/>
    </row>
    <row r="23" spans="1:18" ht="15.75" customHeight="1" thickBot="1" x14ac:dyDescent="0.3">
      <c r="A23" s="29"/>
      <c r="B23" s="118"/>
      <c r="C23" s="94"/>
      <c r="D23" s="61"/>
      <c r="E23" s="62"/>
      <c r="F23" s="6">
        <f>(IF(F26&lt;&gt;"",MROUND(F26*0.7,5),""))</f>
        <v>175</v>
      </c>
      <c r="G23" s="67">
        <f>IF(F23&lt;&gt;"",3,"")</f>
        <v>3</v>
      </c>
      <c r="H23" s="49"/>
      <c r="I23" s="132"/>
      <c r="J23" s="94"/>
      <c r="K23" s="61"/>
      <c r="L23" s="62"/>
      <c r="M23" s="6">
        <f>(IF(M26&lt;&gt;"",MROUND(M26*0.7,5),""))</f>
        <v>160</v>
      </c>
      <c r="N23" s="67">
        <f>IF(M23&lt;&gt;"",3,"")</f>
        <v>3</v>
      </c>
      <c r="O23" s="49"/>
      <c r="P23" s="30"/>
    </row>
    <row r="24" spans="1:18" ht="15" customHeight="1" x14ac:dyDescent="0.25">
      <c r="A24" s="29"/>
      <c r="B24" s="118"/>
      <c r="C24" s="94"/>
      <c r="D24" s="5"/>
      <c r="E24" s="22"/>
      <c r="F24" s="6">
        <f>(IF(F26&lt;&gt;"",MROUND(F26*0.8,5),""))</f>
        <v>200</v>
      </c>
      <c r="G24" s="67">
        <f>IF(F24&lt;&gt;"",2,"")</f>
        <v>2</v>
      </c>
      <c r="H24" s="49"/>
      <c r="I24" s="132"/>
      <c r="J24" s="94"/>
      <c r="K24" s="5"/>
      <c r="L24" s="22"/>
      <c r="M24" s="6">
        <f>(IF(M26&lt;&gt;"",MROUND(M26*0.8,5),""))</f>
        <v>180</v>
      </c>
      <c r="N24" s="67">
        <f>IF(M24&lt;&gt;"",2,"")</f>
        <v>2</v>
      </c>
      <c r="O24" s="49"/>
      <c r="P24" s="30"/>
    </row>
    <row r="25" spans="1:18" ht="15" customHeight="1" x14ac:dyDescent="0.25">
      <c r="A25" s="29"/>
      <c r="B25" s="118"/>
      <c r="C25" s="94"/>
      <c r="D25" s="5"/>
      <c r="E25" s="22"/>
      <c r="F25" s="6">
        <f>(IF(F26&lt;&gt;"",MROUND(F26*0.9,5),""))</f>
        <v>225</v>
      </c>
      <c r="G25" s="67">
        <f>IF(F25&lt;&gt;"",1,"")</f>
        <v>1</v>
      </c>
      <c r="H25" s="82" t="s">
        <v>26</v>
      </c>
      <c r="I25" s="132"/>
      <c r="J25" s="94"/>
      <c r="K25" s="5"/>
      <c r="L25" s="22"/>
      <c r="M25" s="6">
        <f>(IF(M26&lt;&gt;"",MROUND(M26*0.9,5),""))</f>
        <v>205</v>
      </c>
      <c r="N25" s="67">
        <f>IF(M25&lt;&gt;"",1,"")</f>
        <v>1</v>
      </c>
      <c r="O25" s="82" t="s">
        <v>27</v>
      </c>
      <c r="P25" s="30"/>
    </row>
    <row r="26" spans="1:18" ht="15" customHeight="1" x14ac:dyDescent="0.25">
      <c r="A26" s="29"/>
      <c r="B26" s="118"/>
      <c r="C26" s="94"/>
      <c r="D26" s="63"/>
      <c r="E26" s="64"/>
      <c r="F26" s="6">
        <f>IF(D21="","",IF($D$10=1,IF(MIN(E21:E23)&gt;=6,D21+2.5,IF(MIN(E21:E23)=5,D21+2.5,IF(MIN(E21:E23)=4,D21+1,IF(MIN(E21:E23)=3,D21+1,"")))),IF(MIN(E21:E23)&gt;=6,D21+1,IF(MIN(E21:E23)=5,D21+1,IF(MIN(E21:E23)=4,D21+0.5,IF(MIN(E21:E23)=3,D21+0.5,""))))))</f>
        <v>252.5</v>
      </c>
      <c r="G26" s="69" t="str">
        <f>IF(F26&lt;&gt;"","3-6","")</f>
        <v>3-6</v>
      </c>
      <c r="H26" s="82" t="s">
        <v>42</v>
      </c>
      <c r="I26" s="132"/>
      <c r="J26" s="94"/>
      <c r="K26" s="63"/>
      <c r="L26" s="64"/>
      <c r="M26" s="6">
        <f>IF(K21="","",IF($D$10=1,IF(MIN(L21:L23)&gt;=6,K21+2.5,IF(MIN(L21:L23)=5,K21+2.5,IF(MIN(L21:L23)=4,K21+1,IF(MIN(L21:L23)=3,K21+1,"")))),IF(MIN(L21:L23)&gt;=6,K21+1,IF(MIN(L21:L23)=5,K21+1,IF(MIN(L21:L23)=4,K21+0.5,IF(MIN(L21:L23)=3,K21+0.5,""))))))</f>
        <v>227.5</v>
      </c>
      <c r="N26" s="69" t="str">
        <f>IF(M26&lt;&gt;"","3-6","")</f>
        <v>3-6</v>
      </c>
      <c r="O26" s="82" t="s">
        <v>47</v>
      </c>
      <c r="P26" s="30"/>
    </row>
    <row r="27" spans="1:18" ht="15.75" customHeight="1" thickBot="1" x14ac:dyDescent="0.3">
      <c r="A27" s="29"/>
      <c r="B27" s="118"/>
      <c r="C27" s="95"/>
      <c r="D27" s="65"/>
      <c r="E27" s="50"/>
      <c r="F27" s="24">
        <f>IF(F26&lt;&gt;"",MROUND(F26*0.93,5),"")</f>
        <v>235</v>
      </c>
      <c r="G27" s="70" t="str">
        <f>IF(F27&lt;&gt;"","3-6","")</f>
        <v>3-6</v>
      </c>
      <c r="H27" s="79" t="s">
        <v>36</v>
      </c>
      <c r="I27" s="133"/>
      <c r="J27" s="95"/>
      <c r="K27" s="65"/>
      <c r="L27" s="50"/>
      <c r="M27" s="73">
        <f>IF(M26&lt;&gt;"",M26,"")</f>
        <v>227.5</v>
      </c>
      <c r="N27" s="74" t="str">
        <f>IF(M27&lt;&gt;"","3-6","")</f>
        <v>3-6</v>
      </c>
      <c r="O27" s="78" t="s">
        <v>38</v>
      </c>
      <c r="P27" s="30"/>
    </row>
    <row r="28" spans="1:18" ht="15.75" thickBot="1" x14ac:dyDescent="0.3">
      <c r="A28" s="29"/>
      <c r="B28" s="118"/>
      <c r="C28" s="94" t="s">
        <v>15</v>
      </c>
      <c r="D28" s="15">
        <v>395</v>
      </c>
      <c r="E28" s="15">
        <v>6</v>
      </c>
      <c r="F28" s="51">
        <f>(IF(F33&lt;&gt;"",MROUND(F33*0.3,5),""))</f>
        <v>120</v>
      </c>
      <c r="G28" s="71">
        <f>IF(F28&lt;&gt;"",5,"")</f>
        <v>5</v>
      </c>
      <c r="H28" s="77"/>
      <c r="I28" s="11"/>
      <c r="J28" s="11"/>
      <c r="K28" s="11"/>
      <c r="L28" s="11"/>
      <c r="M28" s="11"/>
      <c r="N28" s="11"/>
      <c r="O28" s="11"/>
      <c r="P28" s="30"/>
    </row>
    <row r="29" spans="1:18" ht="15.75" thickBot="1" x14ac:dyDescent="0.3">
      <c r="A29" s="29"/>
      <c r="B29" s="118"/>
      <c r="C29" s="94"/>
      <c r="D29" s="66"/>
      <c r="E29" s="62"/>
      <c r="F29" s="6">
        <f>(IF(F33&lt;&gt;"",MROUND(F33*0.5,5),""))</f>
        <v>200</v>
      </c>
      <c r="G29" s="67">
        <f>IF(F29&lt;&gt;"",5,"")</f>
        <v>5</v>
      </c>
      <c r="H29" s="49"/>
      <c r="I29" s="11"/>
      <c r="J29" s="11"/>
      <c r="K29" s="11"/>
      <c r="L29" s="11"/>
      <c r="M29" s="11"/>
      <c r="N29" s="11"/>
      <c r="O29" s="11"/>
      <c r="P29" s="30"/>
    </row>
    <row r="30" spans="1:18" ht="15.75" thickBot="1" x14ac:dyDescent="0.3">
      <c r="A30" s="29"/>
      <c r="B30" s="118"/>
      <c r="C30" s="94"/>
      <c r="D30" s="61"/>
      <c r="E30" s="62"/>
      <c r="F30" s="6">
        <f>(IF(F33&lt;&gt;"",MROUND(F33*0.7,5),""))</f>
        <v>280</v>
      </c>
      <c r="G30" s="67">
        <f>IF(F30&lt;&gt;"",3,"")</f>
        <v>3</v>
      </c>
      <c r="H30" s="49"/>
      <c r="I30" s="11"/>
      <c r="J30" s="11"/>
      <c r="K30" s="11"/>
      <c r="L30" s="11"/>
      <c r="M30" s="11"/>
      <c r="N30" s="11"/>
      <c r="O30" s="11"/>
      <c r="P30" s="30"/>
    </row>
    <row r="31" spans="1:18" x14ac:dyDescent="0.25">
      <c r="A31" s="29"/>
      <c r="B31" s="118"/>
      <c r="C31" s="94"/>
      <c r="D31" s="5"/>
      <c r="E31" s="22"/>
      <c r="F31" s="6">
        <f>(IF(F33&lt;&gt;"",MROUND(F33*0.8,5),""))</f>
        <v>320</v>
      </c>
      <c r="G31" s="67">
        <f>IF(F31&lt;&gt;"",2,"")</f>
        <v>2</v>
      </c>
      <c r="H31" s="49"/>
      <c r="I31" s="11"/>
      <c r="J31" s="11"/>
      <c r="K31" s="11"/>
      <c r="L31" s="11"/>
      <c r="M31" s="11"/>
      <c r="N31" s="11"/>
      <c r="O31" s="11"/>
      <c r="P31" s="30"/>
    </row>
    <row r="32" spans="1:18" x14ac:dyDescent="0.25">
      <c r="A32" s="29"/>
      <c r="B32" s="118"/>
      <c r="C32" s="94"/>
      <c r="D32" s="5"/>
      <c r="E32" s="22"/>
      <c r="F32" s="6">
        <f>(IF(F33&lt;&gt;"",MROUND(F33*0.9,5),""))</f>
        <v>360</v>
      </c>
      <c r="G32" s="67">
        <f>IF(F32&lt;&gt;"",1,"")</f>
        <v>1</v>
      </c>
      <c r="H32" s="82" t="s">
        <v>26</v>
      </c>
      <c r="I32" s="11"/>
      <c r="J32" s="11"/>
      <c r="K32" s="11"/>
      <c r="L32" s="11"/>
      <c r="M32" s="11"/>
      <c r="N32" s="11"/>
      <c r="O32" s="11"/>
      <c r="P32" s="30"/>
    </row>
    <row r="33" spans="1:16" x14ac:dyDescent="0.25">
      <c r="A33" s="29"/>
      <c r="B33" s="118"/>
      <c r="C33" s="94"/>
      <c r="D33" s="63"/>
      <c r="E33" s="64"/>
      <c r="F33" s="6">
        <f>IF(D28="","",IF($D$10=1,IF(MIN(E28:E30)&gt;=6,D28+2.5,IF(MIN(E28:E30)=5,D28+2.5,IF(MIN(E28:E30)=4,D28+1,IF(MIN(E28:E30)=3,D28+1,"")))),IF(MIN(E28:E30)&gt;=6,D28+1,IF(MIN(E28:E30)=5,D28+1,IF(MIN(E28:E30)=4,D28+0.5,IF(MIN(E28:E30)=3,D28+0.5,""))))))</f>
        <v>397.5</v>
      </c>
      <c r="G33" s="69" t="str">
        <f>IF(F33&lt;&gt;"","3-6","")</f>
        <v>3-6</v>
      </c>
      <c r="H33" s="82" t="s">
        <v>42</v>
      </c>
      <c r="I33" s="11"/>
      <c r="J33" s="11"/>
      <c r="K33" s="11"/>
      <c r="L33" s="11"/>
      <c r="M33" s="11"/>
      <c r="N33" s="11"/>
      <c r="O33" s="11"/>
      <c r="P33" s="30"/>
    </row>
    <row r="34" spans="1:16" ht="15.75" thickBot="1" x14ac:dyDescent="0.3">
      <c r="A34" s="29"/>
      <c r="B34" s="119"/>
      <c r="C34" s="95"/>
      <c r="D34" s="65"/>
      <c r="E34" s="50"/>
      <c r="F34" s="24">
        <f>IF(F33&lt;&gt;"",MROUND(F33*0.97,5),"")</f>
        <v>385</v>
      </c>
      <c r="G34" s="70" t="str">
        <f>IF(F34&lt;&gt;"","3-6","")</f>
        <v>3-6</v>
      </c>
      <c r="H34" s="79" t="s">
        <v>35</v>
      </c>
      <c r="I34" s="11"/>
      <c r="J34" s="11"/>
      <c r="K34" s="11"/>
      <c r="L34" s="11"/>
      <c r="M34" s="11"/>
      <c r="N34" s="11"/>
      <c r="O34" s="11"/>
      <c r="P34" s="30"/>
    </row>
    <row r="35" spans="1:16" x14ac:dyDescent="0.25">
      <c r="A35" s="29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30"/>
    </row>
    <row r="36" spans="1:16" ht="15.75" thickBot="1" x14ac:dyDescent="0.3">
      <c r="A36" s="37" t="s">
        <v>4</v>
      </c>
      <c r="B36" s="53"/>
      <c r="C36" s="36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4"/>
    </row>
    <row r="38" spans="1:16" x14ac:dyDescent="0.25">
      <c r="A38" s="83" t="s">
        <v>44</v>
      </c>
    </row>
    <row r="39" spans="1:16" x14ac:dyDescent="0.25">
      <c r="A39" s="83"/>
    </row>
    <row r="40" spans="1:16" x14ac:dyDescent="0.25">
      <c r="A40" s="83" t="s">
        <v>45</v>
      </c>
    </row>
  </sheetData>
  <mergeCells count="12">
    <mergeCell ref="A1:P1"/>
    <mergeCell ref="C21:C27"/>
    <mergeCell ref="C28:C34"/>
    <mergeCell ref="J21:J27"/>
    <mergeCell ref="I13:I27"/>
    <mergeCell ref="A2:P2"/>
    <mergeCell ref="C9:H9"/>
    <mergeCell ref="D10:H10"/>
    <mergeCell ref="B12:O12"/>
    <mergeCell ref="B13:B34"/>
    <mergeCell ref="C14:C20"/>
    <mergeCell ref="J14:J20"/>
  </mergeCells>
  <hyperlinks>
    <hyperlink ref="A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topLeftCell="E10" zoomScaleNormal="100" workbookViewId="0">
      <selection activeCell="S16" sqref="S16"/>
    </sheetView>
  </sheetViews>
  <sheetFormatPr defaultColWidth="9.140625" defaultRowHeight="15" x14ac:dyDescent="0.25"/>
  <cols>
    <col min="1" max="1" width="9.140625" style="28"/>
    <col min="2" max="2" width="6.5703125" style="28" customWidth="1"/>
    <col min="3" max="3" width="25.28515625" style="28" customWidth="1"/>
    <col min="4" max="4" width="11.140625" style="28" customWidth="1"/>
    <col min="5" max="5" width="6.28515625" style="28" customWidth="1"/>
    <col min="6" max="6" width="12.140625" style="28" customWidth="1"/>
    <col min="7" max="7" width="6.28515625" style="28" customWidth="1"/>
    <col min="8" max="8" width="10.28515625" style="28" customWidth="1"/>
    <col min="9" max="9" width="6.85546875" style="28" bestFit="1" customWidth="1"/>
    <col min="10" max="10" width="9.7109375" style="28" customWidth="1"/>
    <col min="11" max="11" width="11.140625" style="28" customWidth="1"/>
    <col min="12" max="12" width="6.28515625" style="28" customWidth="1"/>
    <col min="13" max="13" width="12.140625" style="28" customWidth="1"/>
    <col min="14" max="14" width="6.28515625" style="28" customWidth="1"/>
    <col min="15" max="15" width="8.85546875" style="28" customWidth="1"/>
    <col min="16" max="16" width="4.85546875" style="28" customWidth="1"/>
    <col min="17" max="17" width="9.7109375" style="28" customWidth="1"/>
    <col min="18" max="18" width="11.140625" style="28" customWidth="1"/>
    <col min="19" max="19" width="6.28515625" style="28" customWidth="1"/>
    <col min="20" max="20" width="12.140625" style="28" customWidth="1"/>
    <col min="21" max="21" width="6.28515625" style="28" customWidth="1"/>
    <col min="22" max="22" width="10.28515625" style="28" customWidth="1"/>
    <col min="23" max="23" width="13.5703125" style="28" bestFit="1" customWidth="1"/>
    <col min="24" max="24" width="5.28515625" style="28" customWidth="1"/>
    <col min="25" max="16384" width="9.140625" style="28"/>
  </cols>
  <sheetData>
    <row r="1" spans="1:25" ht="92.45" thickBot="1" x14ac:dyDescent="1.7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</row>
    <row r="2" spans="1:25" ht="18" x14ac:dyDescent="0.3">
      <c r="A2" s="109" t="s">
        <v>2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1"/>
    </row>
    <row r="3" spans="1:25" ht="14.45" x14ac:dyDescent="0.3">
      <c r="A3" s="54" t="s">
        <v>8</v>
      </c>
      <c r="B3" s="35"/>
      <c r="C3" s="3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30"/>
    </row>
    <row r="4" spans="1:25" ht="14.45" x14ac:dyDescent="0.3">
      <c r="A4" s="54" t="s">
        <v>9</v>
      </c>
      <c r="B4" s="35"/>
      <c r="C4" s="35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30"/>
    </row>
    <row r="5" spans="1:25" ht="14.45" x14ac:dyDescent="0.3">
      <c r="A5" s="54" t="s">
        <v>43</v>
      </c>
      <c r="B5" s="35"/>
      <c r="C5" s="3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30"/>
    </row>
    <row r="6" spans="1:25" ht="14.45" x14ac:dyDescent="0.3">
      <c r="A6" s="80" t="s">
        <v>28</v>
      </c>
      <c r="B6" s="35"/>
      <c r="C6" s="3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30"/>
    </row>
    <row r="7" spans="1:25" ht="14.45" x14ac:dyDescent="0.3">
      <c r="A7" s="80" t="s">
        <v>25</v>
      </c>
      <c r="B7" s="35"/>
      <c r="C7" s="3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30"/>
    </row>
    <row r="8" spans="1:25" ht="14.45" x14ac:dyDescent="0.3">
      <c r="A8" s="54" t="s">
        <v>41</v>
      </c>
      <c r="B8" s="35"/>
      <c r="C8" s="3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30"/>
    </row>
    <row r="9" spans="1:25" thickBot="1" x14ac:dyDescent="0.35">
      <c r="A9" s="29"/>
      <c r="B9" s="11"/>
      <c r="C9" s="2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30"/>
    </row>
    <row r="10" spans="1:25" thickBot="1" x14ac:dyDescent="0.35">
      <c r="A10" s="29"/>
      <c r="B10" s="11"/>
      <c r="C10" s="134" t="s">
        <v>12</v>
      </c>
      <c r="D10" s="113"/>
      <c r="E10" s="113"/>
      <c r="F10" s="113"/>
      <c r="G10" s="113"/>
      <c r="H10" s="113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30"/>
    </row>
    <row r="11" spans="1:25" thickBot="1" x14ac:dyDescent="0.35">
      <c r="A11" s="29"/>
      <c r="B11" s="11"/>
      <c r="C11" s="21" t="s">
        <v>11</v>
      </c>
      <c r="D11" s="115">
        <v>1</v>
      </c>
      <c r="E11" s="116"/>
      <c r="F11" s="116"/>
      <c r="G11" s="116"/>
      <c r="H11" s="116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30"/>
    </row>
    <row r="12" spans="1:25" ht="14.45" x14ac:dyDescent="0.3">
      <c r="A12" s="29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30"/>
    </row>
    <row r="13" spans="1:25" ht="18.600000000000001" thickBot="1" x14ac:dyDescent="0.35">
      <c r="A13" s="29"/>
      <c r="B13" s="135" t="s">
        <v>24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7"/>
      <c r="W13" s="30"/>
    </row>
    <row r="14" spans="1:25" ht="18" customHeight="1" thickBot="1" x14ac:dyDescent="0.35">
      <c r="A14" s="29"/>
      <c r="B14" s="126" t="s">
        <v>29</v>
      </c>
      <c r="C14" s="81" t="s">
        <v>0</v>
      </c>
      <c r="D14" s="58" t="s">
        <v>23</v>
      </c>
      <c r="E14" s="58" t="s">
        <v>1</v>
      </c>
      <c r="F14" s="57" t="s">
        <v>22</v>
      </c>
      <c r="G14" s="59" t="s">
        <v>1</v>
      </c>
      <c r="H14" s="59" t="s">
        <v>21</v>
      </c>
      <c r="I14" s="131" t="s">
        <v>5</v>
      </c>
      <c r="J14" s="2" t="s">
        <v>0</v>
      </c>
      <c r="K14" s="58" t="s">
        <v>23</v>
      </c>
      <c r="L14" s="58" t="s">
        <v>1</v>
      </c>
      <c r="M14" s="57" t="s">
        <v>22</v>
      </c>
      <c r="N14" s="59" t="s">
        <v>1</v>
      </c>
      <c r="O14" s="72" t="s">
        <v>21</v>
      </c>
      <c r="P14" s="126" t="s">
        <v>34</v>
      </c>
      <c r="Q14" s="81" t="s">
        <v>0</v>
      </c>
      <c r="R14" s="58" t="s">
        <v>23</v>
      </c>
      <c r="S14" s="58" t="s">
        <v>1</v>
      </c>
      <c r="T14" s="57" t="s">
        <v>22</v>
      </c>
      <c r="U14" s="59" t="s">
        <v>1</v>
      </c>
      <c r="V14" s="59" t="s">
        <v>21</v>
      </c>
      <c r="W14" s="30"/>
    </row>
    <row r="15" spans="1:25" ht="15.75" customHeight="1" thickBot="1" x14ac:dyDescent="0.3">
      <c r="A15" s="29"/>
      <c r="B15" s="118"/>
      <c r="C15" s="140" t="s">
        <v>19</v>
      </c>
      <c r="D15" s="7"/>
      <c r="E15" s="7"/>
      <c r="F15" s="51" t="str">
        <f>(IF(F20&lt;&gt;"",MROUND(F20*0.3,5),""))</f>
        <v/>
      </c>
      <c r="G15" s="68" t="str">
        <f>IF(F15&lt;&gt;"",5,"")</f>
        <v/>
      </c>
      <c r="H15" s="77"/>
      <c r="I15" s="132"/>
      <c r="J15" s="93" t="s">
        <v>32</v>
      </c>
      <c r="K15" s="7"/>
      <c r="L15" s="7"/>
      <c r="M15" s="51" t="str">
        <f>(IF(M20&lt;&gt;"",MROUND(M20*0.3,5),""))</f>
        <v/>
      </c>
      <c r="N15" s="68" t="str">
        <f>IF(M15&lt;&gt;"",5,"")</f>
        <v/>
      </c>
      <c r="O15" s="48"/>
      <c r="P15" s="118"/>
      <c r="Q15" s="140" t="s">
        <v>17</v>
      </c>
      <c r="R15" s="7"/>
      <c r="S15" s="7"/>
      <c r="T15" s="51" t="str">
        <f>(IF(T20&lt;&gt;"",MROUND(T20*0.3,5),""))</f>
        <v/>
      </c>
      <c r="U15" s="68" t="str">
        <f>IF(T15&lt;&gt;"",5,"")</f>
        <v/>
      </c>
      <c r="V15" s="77"/>
      <c r="W15" s="30"/>
      <c r="Y15" s="31"/>
    </row>
    <row r="16" spans="1:25" ht="15.75" customHeight="1" thickBot="1" x14ac:dyDescent="0.3">
      <c r="A16" s="29"/>
      <c r="B16" s="118"/>
      <c r="C16" s="138"/>
      <c r="D16" s="66"/>
      <c r="E16" s="62"/>
      <c r="F16" s="6" t="str">
        <f>(IF(F20&lt;&gt;"",MROUND(F20*0.5,5),""))</f>
        <v/>
      </c>
      <c r="G16" s="67" t="str">
        <f>IF(F16&lt;&gt;"",5,"")</f>
        <v/>
      </c>
      <c r="H16" s="49"/>
      <c r="I16" s="132"/>
      <c r="J16" s="94"/>
      <c r="K16" s="66"/>
      <c r="L16" s="62"/>
      <c r="M16" s="6" t="str">
        <f>(IF(M20&lt;&gt;"",MROUND(M20*0.5,5),""))</f>
        <v/>
      </c>
      <c r="N16" s="67" t="str">
        <f>IF(M16&lt;&gt;"",5,"")</f>
        <v/>
      </c>
      <c r="O16" s="75"/>
      <c r="P16" s="118"/>
      <c r="Q16" s="138"/>
      <c r="R16" s="66"/>
      <c r="S16" s="62"/>
      <c r="T16" s="6" t="str">
        <f>(IF(T20&lt;&gt;"",MROUND(T20*0.5,5),""))</f>
        <v/>
      </c>
      <c r="U16" s="67" t="str">
        <f>IF(T16&lt;&gt;"",5,"")</f>
        <v/>
      </c>
      <c r="V16" s="49"/>
      <c r="W16" s="30"/>
      <c r="Y16" s="31"/>
    </row>
    <row r="17" spans="1:25" ht="15.75" customHeight="1" thickBot="1" x14ac:dyDescent="0.3">
      <c r="A17" s="29"/>
      <c r="B17" s="118"/>
      <c r="C17" s="138"/>
      <c r="D17" s="61"/>
      <c r="E17" s="62"/>
      <c r="F17" s="6" t="str">
        <f>(IF(F20&lt;&gt;"",MROUND(F20*0.7,5),""))</f>
        <v/>
      </c>
      <c r="G17" s="67" t="str">
        <f>IF(F17&lt;&gt;"",3,"")</f>
        <v/>
      </c>
      <c r="H17" s="49"/>
      <c r="I17" s="132"/>
      <c r="J17" s="94"/>
      <c r="K17" s="61"/>
      <c r="L17" s="62"/>
      <c r="M17" s="6" t="str">
        <f>(IF(M20&lt;&gt;"",MROUND(M20*0.7,5),""))</f>
        <v/>
      </c>
      <c r="N17" s="67" t="str">
        <f>IF(M17&lt;&gt;"",3,"")</f>
        <v/>
      </c>
      <c r="O17" s="75"/>
      <c r="P17" s="118"/>
      <c r="Q17" s="138"/>
      <c r="R17" s="61"/>
      <c r="S17" s="62"/>
      <c r="T17" s="6" t="str">
        <f>(IF(T20&lt;&gt;"",MROUND(T20*0.7,5),""))</f>
        <v/>
      </c>
      <c r="U17" s="67" t="str">
        <f>IF(T17&lt;&gt;"",3,"")</f>
        <v/>
      </c>
      <c r="V17" s="49"/>
      <c r="W17" s="30"/>
      <c r="Y17" s="31"/>
    </row>
    <row r="18" spans="1:25" ht="15" customHeight="1" x14ac:dyDescent="0.25">
      <c r="A18" s="29"/>
      <c r="B18" s="118"/>
      <c r="C18" s="138"/>
      <c r="D18" s="5"/>
      <c r="E18" s="22"/>
      <c r="F18" s="6" t="str">
        <f>(IF(F20&lt;&gt;"",MROUND(F20*0.8,5),""))</f>
        <v/>
      </c>
      <c r="G18" s="67" t="str">
        <f>IF(F18&lt;&gt;"",2,"")</f>
        <v/>
      </c>
      <c r="H18" s="49"/>
      <c r="I18" s="132"/>
      <c r="J18" s="94"/>
      <c r="K18" s="5"/>
      <c r="L18" s="22"/>
      <c r="M18" s="6" t="str">
        <f>(IF(M20&lt;&gt;"",MROUND(M20*0.8,5),""))</f>
        <v/>
      </c>
      <c r="N18" s="67" t="str">
        <f>IF(M18&lt;&gt;"",2,"")</f>
        <v/>
      </c>
      <c r="O18" s="75"/>
      <c r="P18" s="118"/>
      <c r="Q18" s="138"/>
      <c r="R18" s="5"/>
      <c r="S18" s="22"/>
      <c r="T18" s="6" t="str">
        <f>(IF(T20&lt;&gt;"",MROUND(T20*0.8,5),""))</f>
        <v/>
      </c>
      <c r="U18" s="67" t="str">
        <f>IF(T18&lt;&gt;"",2,"")</f>
        <v/>
      </c>
      <c r="V18" s="49"/>
      <c r="W18" s="30"/>
      <c r="Y18" s="31"/>
    </row>
    <row r="19" spans="1:25" ht="15" customHeight="1" x14ac:dyDescent="0.25">
      <c r="A19" s="29"/>
      <c r="B19" s="118"/>
      <c r="C19" s="138"/>
      <c r="D19" s="5"/>
      <c r="E19" s="22"/>
      <c r="F19" s="6" t="str">
        <f>(IF(F20&lt;&gt;"",MROUND(F20*0.9,5),""))</f>
        <v/>
      </c>
      <c r="G19" s="67" t="str">
        <f>IF(F19&lt;&gt;"",1,"")</f>
        <v/>
      </c>
      <c r="H19" s="82" t="s">
        <v>26</v>
      </c>
      <c r="I19" s="132"/>
      <c r="J19" s="94"/>
      <c r="K19" s="5"/>
      <c r="L19" s="22"/>
      <c r="M19" s="6" t="str">
        <f>(IF(M20&lt;&gt;"",MROUND(M20*0.9,5),""))</f>
        <v/>
      </c>
      <c r="N19" s="67" t="str">
        <f>IF(M19&lt;&gt;"",1,"")</f>
        <v/>
      </c>
      <c r="O19" s="82" t="s">
        <v>27</v>
      </c>
      <c r="P19" s="118"/>
      <c r="Q19" s="138"/>
      <c r="R19" s="5"/>
      <c r="S19" s="22"/>
      <c r="T19" s="6" t="str">
        <f>(IF(T20&lt;&gt;"",MROUND(T20*0.9,5),""))</f>
        <v/>
      </c>
      <c r="U19" s="67" t="str">
        <f>IF(T19&lt;&gt;"",1,"")</f>
        <v/>
      </c>
      <c r="V19" s="82" t="s">
        <v>26</v>
      </c>
      <c r="W19" s="30"/>
      <c r="Y19" s="31"/>
    </row>
    <row r="20" spans="1:25" ht="15" customHeight="1" x14ac:dyDescent="0.25">
      <c r="A20" s="29"/>
      <c r="B20" s="118"/>
      <c r="C20" s="138"/>
      <c r="D20" s="63"/>
      <c r="E20" s="64"/>
      <c r="F20" s="6" t="str">
        <f>IF(D15="","",IF($D$11=1,IF(MIN(E15:E17)&gt;=6,D15+5,IF(MIN(E15:E17)=5,D15+2.5,IF(MIN(E15:E17)=4,D15+1,""))),IF(MIN(E15:E17)&gt;=6,D15+2,IF(MIN(E15:E17)=5,D15+1,IF(MIN(E15:E17)=4,D15+0.5,"")))))</f>
        <v/>
      </c>
      <c r="G20" s="69" t="str">
        <f>IF(F20&lt;&gt;"","3-6","")</f>
        <v/>
      </c>
      <c r="H20" s="82" t="s">
        <v>42</v>
      </c>
      <c r="I20" s="132"/>
      <c r="J20" s="94"/>
      <c r="K20" s="63"/>
      <c r="L20" s="64"/>
      <c r="M20" s="6" t="str">
        <f>IF(K15="","",IF($D$11=1,IF(MIN(L15:L17)&gt;=8,K15+5,IF(MIN(L15:L17)=7,K15+2.5,IF(MIN(L15:L17)=6,K15+1,""))),IF(MIN(L15:L17)&gt;=8,K15+2,IF(MIN(L15:L17)=7,K15+1,IF(MIN(L15:L17)=6,K15+0.5,"")))))</f>
        <v/>
      </c>
      <c r="N20" s="69" t="str">
        <f>IF(M20&lt;&gt;"","3-6","")</f>
        <v/>
      </c>
      <c r="O20" s="82" t="s">
        <v>46</v>
      </c>
      <c r="P20" s="118"/>
      <c r="Q20" s="138"/>
      <c r="R20" s="63"/>
      <c r="S20" s="64"/>
      <c r="T20" s="6" t="str">
        <f>IF(R15="","",IF($D$11=1,IF(MIN(S15:S17)&gt;=3,R15+5,IF(MIN(S15:S17)=2,R15+2.5,IF(MIN(S15:S17)=1,R15+1,""))),IF(MIN(S15:S17)&gt;=3,R15+2,IF(MIN(S15:S17)=2,R15+1,IF(MIN(S15:S17)=1,R15+0.5,"")))))</f>
        <v/>
      </c>
      <c r="U20" s="69" t="str">
        <f>IF(T20&lt;&gt;"","3-6","")</f>
        <v/>
      </c>
      <c r="V20" s="82" t="s">
        <v>42</v>
      </c>
      <c r="W20" s="30"/>
      <c r="Y20" s="31"/>
    </row>
    <row r="21" spans="1:25" ht="15.75" customHeight="1" thickBot="1" x14ac:dyDescent="0.3">
      <c r="A21" s="29"/>
      <c r="B21" s="118"/>
      <c r="C21" s="139"/>
      <c r="D21" s="65"/>
      <c r="E21" s="50"/>
      <c r="F21" s="73" t="str">
        <f>IF(F20&lt;&gt;"",MROUND(F20*0.925,5),"")</f>
        <v/>
      </c>
      <c r="G21" s="74" t="str">
        <f>IF(F21&lt;&gt;"","3-6","")</f>
        <v/>
      </c>
      <c r="H21" s="79" t="s">
        <v>40</v>
      </c>
      <c r="I21" s="132"/>
      <c r="J21" s="95"/>
      <c r="K21" s="65"/>
      <c r="L21" s="50"/>
      <c r="M21" s="73" t="str">
        <f>IF(M20&lt;&gt;"",M20,"")</f>
        <v/>
      </c>
      <c r="N21" s="74" t="str">
        <f>IF(M21&lt;&gt;"","3-6","")</f>
        <v/>
      </c>
      <c r="O21" s="76" t="s">
        <v>27</v>
      </c>
      <c r="P21" s="118"/>
      <c r="Q21" s="139"/>
      <c r="R21" s="65"/>
      <c r="S21" s="50"/>
      <c r="T21" s="73" t="str">
        <f>IF(T20&lt;&gt;"",MROUND(T20*0.975,5),"")</f>
        <v/>
      </c>
      <c r="U21" s="74" t="str">
        <f>IF(T21&lt;&gt;"","3-6","")</f>
        <v/>
      </c>
      <c r="V21" s="79" t="s">
        <v>38</v>
      </c>
      <c r="W21" s="30"/>
      <c r="Y21" s="31"/>
    </row>
    <row r="22" spans="1:25" ht="15.75" customHeight="1" thickBot="1" x14ac:dyDescent="0.3">
      <c r="A22" s="29"/>
      <c r="B22" s="118"/>
      <c r="C22" s="140" t="s">
        <v>20</v>
      </c>
      <c r="D22" s="38"/>
      <c r="E22" s="38"/>
      <c r="F22" s="52" t="str">
        <f>(IF(F27&lt;&gt;"",MROUND(F27*0.3,5),""))</f>
        <v/>
      </c>
      <c r="G22" s="68" t="str">
        <f>IF(F22&lt;&gt;"",5,"")</f>
        <v/>
      </c>
      <c r="H22" s="77"/>
      <c r="I22" s="132"/>
      <c r="J22" s="93" t="s">
        <v>33</v>
      </c>
      <c r="K22" s="7"/>
      <c r="L22" s="7"/>
      <c r="M22" s="51" t="str">
        <f>(IF(M27&lt;&gt;"",MROUND(M27*0.3,5),""))</f>
        <v/>
      </c>
      <c r="N22" s="68" t="str">
        <f>IF(M22&lt;&gt;"",5,"")</f>
        <v/>
      </c>
      <c r="O22" s="48"/>
      <c r="P22" s="118"/>
      <c r="Q22" s="140" t="s">
        <v>16</v>
      </c>
      <c r="R22" s="38"/>
      <c r="S22" s="38"/>
      <c r="T22" s="52" t="str">
        <f>(IF(T27&lt;&gt;"",MROUND(T27*0.3,5),""))</f>
        <v/>
      </c>
      <c r="U22" s="68" t="str">
        <f>IF(T22&lt;&gt;"",5,"")</f>
        <v/>
      </c>
      <c r="V22" s="77"/>
      <c r="W22" s="30"/>
    </row>
    <row r="23" spans="1:25" ht="15.75" customHeight="1" thickBot="1" x14ac:dyDescent="0.3">
      <c r="A23" s="29"/>
      <c r="B23" s="118"/>
      <c r="C23" s="138"/>
      <c r="D23" s="66"/>
      <c r="E23" s="62"/>
      <c r="F23" s="6" t="str">
        <f>(IF(F27&lt;&gt;"",MROUND(F27*0.5,5),""))</f>
        <v/>
      </c>
      <c r="G23" s="67" t="str">
        <f>IF(F23&lt;&gt;"",5,"")</f>
        <v/>
      </c>
      <c r="H23" s="49"/>
      <c r="I23" s="132"/>
      <c r="J23" s="94"/>
      <c r="K23" s="66"/>
      <c r="L23" s="62"/>
      <c r="M23" s="6" t="str">
        <f>(IF(M27&lt;&gt;"",MROUND(M27*0.5,5),""))</f>
        <v/>
      </c>
      <c r="N23" s="67" t="str">
        <f>IF(M23&lt;&gt;"",5,"")</f>
        <v/>
      </c>
      <c r="O23" s="75"/>
      <c r="P23" s="118"/>
      <c r="Q23" s="138"/>
      <c r="R23" s="66"/>
      <c r="S23" s="62"/>
      <c r="T23" s="6" t="str">
        <f>(IF(T27&lt;&gt;"",MROUND(T27*0.5,5),""))</f>
        <v/>
      </c>
      <c r="U23" s="67" t="str">
        <f>IF(T23&lt;&gt;"",5,"")</f>
        <v/>
      </c>
      <c r="V23" s="49"/>
      <c r="W23" s="30"/>
    </row>
    <row r="24" spans="1:25" ht="15.75" customHeight="1" thickBot="1" x14ac:dyDescent="0.3">
      <c r="A24" s="29"/>
      <c r="B24" s="118"/>
      <c r="C24" s="138"/>
      <c r="D24" s="61"/>
      <c r="E24" s="62"/>
      <c r="F24" s="6" t="str">
        <f>(IF(F27&lt;&gt;"",MROUND(F27*0.7,5),""))</f>
        <v/>
      </c>
      <c r="G24" s="67" t="str">
        <f>IF(F24&lt;&gt;"",3,"")</f>
        <v/>
      </c>
      <c r="H24" s="49"/>
      <c r="I24" s="132"/>
      <c r="J24" s="94"/>
      <c r="K24" s="61"/>
      <c r="L24" s="62"/>
      <c r="M24" s="6" t="str">
        <f>(IF(M27&lt;&gt;"",MROUND(M27*0.7,5),""))</f>
        <v/>
      </c>
      <c r="N24" s="67" t="str">
        <f>IF(M24&lt;&gt;"",3,"")</f>
        <v/>
      </c>
      <c r="O24" s="75"/>
      <c r="P24" s="118"/>
      <c r="Q24" s="138"/>
      <c r="R24" s="61"/>
      <c r="S24" s="62"/>
      <c r="T24" s="6" t="str">
        <f>(IF(T27&lt;&gt;"",MROUND(T27*0.7,5),""))</f>
        <v/>
      </c>
      <c r="U24" s="67" t="str">
        <f>IF(T24&lt;&gt;"",3,"")</f>
        <v/>
      </c>
      <c r="V24" s="49"/>
      <c r="W24" s="30"/>
    </row>
    <row r="25" spans="1:25" ht="15" customHeight="1" x14ac:dyDescent="0.25">
      <c r="A25" s="29"/>
      <c r="B25" s="118"/>
      <c r="C25" s="138"/>
      <c r="D25" s="5"/>
      <c r="E25" s="22"/>
      <c r="F25" s="6" t="str">
        <f>(IF(F27&lt;&gt;"",MROUND(F27*0.8,5),""))</f>
        <v/>
      </c>
      <c r="G25" s="67" t="str">
        <f>IF(F25&lt;&gt;"",2,"")</f>
        <v/>
      </c>
      <c r="H25" s="49"/>
      <c r="I25" s="132"/>
      <c r="J25" s="94"/>
      <c r="K25" s="5"/>
      <c r="L25" s="22"/>
      <c r="M25" s="6" t="str">
        <f>(IF(M27&lt;&gt;"",MROUND(M27*0.8,5),""))</f>
        <v/>
      </c>
      <c r="N25" s="67" t="str">
        <f>IF(M25&lt;&gt;"",2,"")</f>
        <v/>
      </c>
      <c r="O25" s="75"/>
      <c r="P25" s="118"/>
      <c r="Q25" s="138"/>
      <c r="R25" s="5"/>
      <c r="S25" s="22"/>
      <c r="T25" s="6" t="str">
        <f>(IF(T27&lt;&gt;"",MROUND(T27*0.8,5),""))</f>
        <v/>
      </c>
      <c r="U25" s="67" t="str">
        <f>IF(T25&lt;&gt;"",2,"")</f>
        <v/>
      </c>
      <c r="V25" s="49"/>
      <c r="W25" s="30"/>
    </row>
    <row r="26" spans="1:25" ht="15" customHeight="1" x14ac:dyDescent="0.25">
      <c r="A26" s="29"/>
      <c r="B26" s="118"/>
      <c r="C26" s="138"/>
      <c r="D26" s="5"/>
      <c r="E26" s="22"/>
      <c r="F26" s="6" t="str">
        <f>(IF(F27&lt;&gt;"",MROUND(F27*0.9,5),""))</f>
        <v/>
      </c>
      <c r="G26" s="67" t="str">
        <f>IF(F26&lt;&gt;"",1,"")</f>
        <v/>
      </c>
      <c r="H26" s="82" t="s">
        <v>26</v>
      </c>
      <c r="I26" s="132"/>
      <c r="J26" s="94"/>
      <c r="K26" s="5"/>
      <c r="L26" s="22"/>
      <c r="M26" s="6" t="str">
        <f>(IF(M27&lt;&gt;"",MROUND(M27*0.9,5),""))</f>
        <v/>
      </c>
      <c r="N26" s="67" t="str">
        <f>IF(M26&lt;&gt;"",1,"")</f>
        <v/>
      </c>
      <c r="O26" s="82" t="s">
        <v>27</v>
      </c>
      <c r="P26" s="118"/>
      <c r="Q26" s="138"/>
      <c r="R26" s="5"/>
      <c r="S26" s="22"/>
      <c r="T26" s="6" t="str">
        <f>(IF(T27&lt;&gt;"",MROUND(T27*0.9,5),""))</f>
        <v/>
      </c>
      <c r="U26" s="67" t="str">
        <f>IF(T26&lt;&gt;"",1,"")</f>
        <v/>
      </c>
      <c r="V26" s="82" t="s">
        <v>26</v>
      </c>
      <c r="W26" s="30"/>
    </row>
    <row r="27" spans="1:25" ht="15" customHeight="1" x14ac:dyDescent="0.25">
      <c r="A27" s="29"/>
      <c r="B27" s="118"/>
      <c r="C27" s="138"/>
      <c r="D27" s="63"/>
      <c r="E27" s="64"/>
      <c r="F27" s="6" t="str">
        <f>IF(D22="","",IF($D$11=1,IF(MIN(E22:E24)&gt;=6,D22+5,IF(MIN(E22:E24)=5,D22+2.5,IF(MIN(E22:E24)=4,D22+1,""))),IF(MIN(E22:E24)&gt;=6,D22+2,IF(MIN(E22:E24)=5,D22+1,IF(MIN(E22:E24)=4,D22+0.5,"")))))</f>
        <v/>
      </c>
      <c r="G27" s="69" t="str">
        <f>IF(F27&lt;&gt;"","3-6","")</f>
        <v/>
      </c>
      <c r="H27" s="82" t="s">
        <v>42</v>
      </c>
      <c r="I27" s="132"/>
      <c r="J27" s="94"/>
      <c r="K27" s="63"/>
      <c r="L27" s="64"/>
      <c r="M27" s="6" t="str">
        <f>IF(K22="","",IF($D$11=1,IF(MIN(L22:L24)&gt;=8,K22+5,IF(MIN(L22:L24)=7,K22+2.5,IF(MIN(L22:L24)=6,K22+1,""))),IF(MIN(L22:L24)&gt;=8,K22+2,IF(MIN(L22:L24)=7,K22+1,IF(MIN(L22:L24)=6,K22+0.5,"")))))</f>
        <v/>
      </c>
      <c r="N27" s="69" t="str">
        <f>IF(M27&lt;&gt;"","3-6","")</f>
        <v/>
      </c>
      <c r="O27" s="82" t="s">
        <v>46</v>
      </c>
      <c r="P27" s="118"/>
      <c r="Q27" s="138"/>
      <c r="R27" s="63"/>
      <c r="S27" s="64"/>
      <c r="T27" s="6" t="str">
        <f>IF(R22="","",IF($D$11=1,IF(MIN(S22:S24)&gt;=3,R22+5,IF(MIN(S22:S24)=2,R22+2.5,IF(MIN(S22:S24)=1,R22+1,""))),IF(MIN(S22:S24)&gt;=3,R22+2,IF(MIN(S22:S24)=2,R22+1,IF(MIN(S22:S24)=1,R22+0.5,"")))))</f>
        <v/>
      </c>
      <c r="U27" s="69" t="str">
        <f>IF(T27&lt;&gt;"","3-6","")</f>
        <v/>
      </c>
      <c r="V27" s="82" t="s">
        <v>42</v>
      </c>
      <c r="W27" s="30"/>
    </row>
    <row r="28" spans="1:25" ht="15.75" customHeight="1" thickBot="1" x14ac:dyDescent="0.3">
      <c r="A28" s="29"/>
      <c r="B28" s="118"/>
      <c r="C28" s="139"/>
      <c r="D28" s="65"/>
      <c r="E28" s="50"/>
      <c r="F28" s="24" t="str">
        <f>IF(F27&lt;&gt;"",MROUND(F27*0.925,5),"")</f>
        <v/>
      </c>
      <c r="G28" s="70" t="str">
        <f>IF(F28&lt;&gt;"","3-6","")</f>
        <v/>
      </c>
      <c r="H28" s="79" t="s">
        <v>40</v>
      </c>
      <c r="I28" s="133"/>
      <c r="J28" s="95"/>
      <c r="K28" s="65"/>
      <c r="L28" s="50"/>
      <c r="M28" s="73" t="str">
        <f>IF(M27&lt;&gt;"",M27,"")</f>
        <v/>
      </c>
      <c r="N28" s="74" t="str">
        <f>IF(M28&lt;&gt;"","3-6","")</f>
        <v/>
      </c>
      <c r="O28" s="76" t="s">
        <v>27</v>
      </c>
      <c r="P28" s="118"/>
      <c r="Q28" s="139"/>
      <c r="R28" s="65"/>
      <c r="S28" s="50"/>
      <c r="T28" s="24" t="str">
        <f>IF(T27&lt;&gt;"",MROUND(T27*0.95,5),"")</f>
        <v/>
      </c>
      <c r="U28" s="70" t="str">
        <f>IF(T28&lt;&gt;"","3-6","")</f>
        <v/>
      </c>
      <c r="V28" s="79" t="s">
        <v>39</v>
      </c>
      <c r="W28" s="30"/>
    </row>
    <row r="29" spans="1:25" ht="15.75" customHeight="1" thickBot="1" x14ac:dyDescent="0.3">
      <c r="A29" s="29"/>
      <c r="B29" s="118"/>
      <c r="C29" s="138" t="s">
        <v>30</v>
      </c>
      <c r="D29" s="15"/>
      <c r="E29" s="15"/>
      <c r="F29" s="51" t="str">
        <f>(IF(F34&lt;&gt;"",MROUND(F34*0.3,5),""))</f>
        <v/>
      </c>
      <c r="G29" s="71" t="str">
        <f>IF(F29&lt;&gt;"",5,"")</f>
        <v/>
      </c>
      <c r="H29" s="77"/>
      <c r="I29" s="11"/>
      <c r="J29" s="11"/>
      <c r="K29" s="11"/>
      <c r="L29" s="11"/>
      <c r="M29" s="11"/>
      <c r="N29" s="11"/>
      <c r="O29" s="11"/>
      <c r="P29" s="118"/>
      <c r="Q29" s="138" t="s">
        <v>15</v>
      </c>
      <c r="R29" s="15"/>
      <c r="S29" s="15"/>
      <c r="T29" s="51" t="str">
        <f>(IF(T34&lt;&gt;"",MROUND(T34*0.3,5),""))</f>
        <v/>
      </c>
      <c r="U29" s="71" t="str">
        <f>IF(T29&lt;&gt;"",5,"")</f>
        <v/>
      </c>
      <c r="V29" s="77"/>
      <c r="W29" s="30"/>
    </row>
    <row r="30" spans="1:25" ht="15.75" customHeight="1" thickBot="1" x14ac:dyDescent="0.3">
      <c r="A30" s="29"/>
      <c r="B30" s="118"/>
      <c r="C30" s="138"/>
      <c r="D30" s="66"/>
      <c r="E30" s="62"/>
      <c r="F30" s="6" t="str">
        <f>(IF(F34&lt;&gt;"",MROUND(F34*0.5,5),""))</f>
        <v/>
      </c>
      <c r="G30" s="67" t="str">
        <f>IF(F30&lt;&gt;"",5,"")</f>
        <v/>
      </c>
      <c r="H30" s="49"/>
      <c r="I30" s="11"/>
      <c r="J30" s="11"/>
      <c r="K30" s="11"/>
      <c r="L30" s="11"/>
      <c r="M30" s="11"/>
      <c r="N30" s="11"/>
      <c r="O30" s="11"/>
      <c r="P30" s="118"/>
      <c r="Q30" s="138"/>
      <c r="R30" s="66"/>
      <c r="S30" s="62"/>
      <c r="T30" s="6" t="str">
        <f>(IF(T34&lt;&gt;"",MROUND(T34*0.5,5),""))</f>
        <v/>
      </c>
      <c r="U30" s="67" t="str">
        <f>IF(T30&lt;&gt;"",5,"")</f>
        <v/>
      </c>
      <c r="V30" s="49"/>
      <c r="W30" s="30"/>
    </row>
    <row r="31" spans="1:25" ht="15.75" customHeight="1" thickBot="1" x14ac:dyDescent="0.3">
      <c r="A31" s="29"/>
      <c r="B31" s="118"/>
      <c r="C31" s="138"/>
      <c r="D31" s="61"/>
      <c r="E31" s="62"/>
      <c r="F31" s="6" t="str">
        <f>(IF(F34&lt;&gt;"",MROUND(F34*0.7,5),""))</f>
        <v/>
      </c>
      <c r="G31" s="67" t="str">
        <f>IF(F31&lt;&gt;"",3,"")</f>
        <v/>
      </c>
      <c r="H31" s="49"/>
      <c r="I31" s="11"/>
      <c r="J31" s="11"/>
      <c r="K31" s="11"/>
      <c r="L31" s="11"/>
      <c r="M31" s="11"/>
      <c r="N31" s="11"/>
      <c r="O31" s="11"/>
      <c r="P31" s="118"/>
      <c r="Q31" s="138"/>
      <c r="R31" s="61"/>
      <c r="S31" s="62"/>
      <c r="T31" s="6" t="str">
        <f>(IF(T34&lt;&gt;"",MROUND(T34*0.7,5),""))</f>
        <v/>
      </c>
      <c r="U31" s="67" t="str">
        <f>IF(T31&lt;&gt;"",3,"")</f>
        <v/>
      </c>
      <c r="V31" s="49"/>
      <c r="W31" s="30"/>
    </row>
    <row r="32" spans="1:25" ht="15" customHeight="1" x14ac:dyDescent="0.25">
      <c r="A32" s="29"/>
      <c r="B32" s="118"/>
      <c r="C32" s="138"/>
      <c r="D32" s="5"/>
      <c r="E32" s="22"/>
      <c r="F32" s="6" t="str">
        <f>(IF(F34&lt;&gt;"",MROUND(F34*0.8,5),""))</f>
        <v/>
      </c>
      <c r="G32" s="67" t="str">
        <f>IF(F32&lt;&gt;"",2,"")</f>
        <v/>
      </c>
      <c r="H32" s="49"/>
      <c r="I32" s="11"/>
      <c r="J32" s="11"/>
      <c r="K32" s="11"/>
      <c r="L32" s="11"/>
      <c r="M32" s="11"/>
      <c r="N32" s="11"/>
      <c r="O32" s="11"/>
      <c r="P32" s="118"/>
      <c r="Q32" s="138"/>
      <c r="R32" s="5"/>
      <c r="S32" s="22"/>
      <c r="T32" s="6" t="str">
        <f>(IF(T34&lt;&gt;"",MROUND(T34*0.8,5),""))</f>
        <v/>
      </c>
      <c r="U32" s="67" t="str">
        <f>IF(T32&lt;&gt;"",2,"")</f>
        <v/>
      </c>
      <c r="V32" s="49"/>
      <c r="W32" s="30"/>
    </row>
    <row r="33" spans="1:23" ht="15" customHeight="1" x14ac:dyDescent="0.25">
      <c r="A33" s="29"/>
      <c r="B33" s="118"/>
      <c r="C33" s="138"/>
      <c r="D33" s="5"/>
      <c r="E33" s="22"/>
      <c r="F33" s="6" t="str">
        <f>(IF(F34&lt;&gt;"",MROUND(F34*0.9,5),""))</f>
        <v/>
      </c>
      <c r="G33" s="67" t="str">
        <f>IF(F33&lt;&gt;"",1,"")</f>
        <v/>
      </c>
      <c r="H33" s="82" t="s">
        <v>26</v>
      </c>
      <c r="I33" s="11"/>
      <c r="J33" s="11"/>
      <c r="K33" s="11"/>
      <c r="L33" s="11"/>
      <c r="M33" s="11"/>
      <c r="N33" s="11"/>
      <c r="O33" s="11"/>
      <c r="P33" s="118"/>
      <c r="Q33" s="138"/>
      <c r="R33" s="5"/>
      <c r="S33" s="22"/>
      <c r="T33" s="6" t="str">
        <f>(IF(T34&lt;&gt;"",MROUND(T34*0.9,5),""))</f>
        <v/>
      </c>
      <c r="U33" s="67" t="str">
        <f>IF(T33&lt;&gt;"",1,"")</f>
        <v/>
      </c>
      <c r="V33" s="82" t="s">
        <v>26</v>
      </c>
      <c r="W33" s="30"/>
    </row>
    <row r="34" spans="1:23" ht="15" customHeight="1" x14ac:dyDescent="0.25">
      <c r="A34" s="29"/>
      <c r="B34" s="118"/>
      <c r="C34" s="138"/>
      <c r="D34" s="63"/>
      <c r="E34" s="64"/>
      <c r="F34" s="6" t="str">
        <f>IF(D29="","",IF($D$11=1,IF(MIN(E29:E31)&gt;=6,D29+5,IF(MIN(E29:E31)=5,D29+2.5,IF(MIN(E29:E31)=4,D29+1,""))),IF(MIN(E29:E31)&gt;=6,D29+2,IF(MIN(E29:E31)=5,D29+1,IF(MIN(E29:E31)=4,D29+0.5,"")))))</f>
        <v/>
      </c>
      <c r="G34" s="69" t="str">
        <f>IF(F34&lt;&gt;"","3-6","")</f>
        <v/>
      </c>
      <c r="H34" s="82" t="s">
        <v>42</v>
      </c>
      <c r="I34" s="11"/>
      <c r="J34" s="11"/>
      <c r="K34" s="11"/>
      <c r="L34" s="11"/>
      <c r="M34" s="11"/>
      <c r="N34" s="11"/>
      <c r="O34" s="11"/>
      <c r="P34" s="118"/>
      <c r="Q34" s="138"/>
      <c r="R34" s="63"/>
      <c r="S34" s="64"/>
      <c r="T34" s="6" t="str">
        <f>IF(R29="","",IF($D$11=1,IF(MIN(S29:S31)&gt;=3,R29+5,IF(MIN(S29:S31)=2,R29+2.5,IF(MIN(S29:S31)=1,R29+1,""))),IF(MIN(S29:S31)&gt;=3,R29+2,IF(MIN(S29:S31)=2,R29+1,IF(MIN(S29:S31)=1,R29+0.5,"")))))</f>
        <v/>
      </c>
      <c r="U34" s="69" t="str">
        <f>IF(T34&lt;&gt;"","3-6","")</f>
        <v/>
      </c>
      <c r="V34" s="82" t="s">
        <v>42</v>
      </c>
      <c r="W34" s="30"/>
    </row>
    <row r="35" spans="1:23" ht="15.75" customHeight="1" thickBot="1" x14ac:dyDescent="0.3">
      <c r="A35" s="29"/>
      <c r="B35" s="118"/>
      <c r="C35" s="139"/>
      <c r="D35" s="65"/>
      <c r="E35" s="50"/>
      <c r="F35" s="24" t="str">
        <f>IF(F34&lt;&gt;"",MROUND(F34*0.95,5),"")</f>
        <v/>
      </c>
      <c r="G35" s="70" t="str">
        <f>IF(F35&lt;&gt;"","3-6","")</f>
        <v/>
      </c>
      <c r="H35" s="79" t="s">
        <v>39</v>
      </c>
      <c r="I35" s="11"/>
      <c r="J35" s="11"/>
      <c r="K35" s="11"/>
      <c r="L35" s="11"/>
      <c r="M35" s="11"/>
      <c r="N35" s="11"/>
      <c r="O35" s="11"/>
      <c r="P35" s="119"/>
      <c r="Q35" s="139"/>
      <c r="R35" s="65"/>
      <c r="S35" s="50"/>
      <c r="T35" s="24" t="str">
        <f>IF(T34&lt;&gt;"",MROUND(T34*0.975,5),"")</f>
        <v/>
      </c>
      <c r="U35" s="70" t="str">
        <f>IF(T35&lt;&gt;"","3-6","")</f>
        <v/>
      </c>
      <c r="V35" s="79" t="s">
        <v>38</v>
      </c>
      <c r="W35" s="30"/>
    </row>
    <row r="36" spans="1:23" ht="17.25" customHeight="1" thickBot="1" x14ac:dyDescent="0.3">
      <c r="A36" s="29"/>
      <c r="B36" s="118"/>
      <c r="C36" s="120" t="s">
        <v>31</v>
      </c>
      <c r="D36" s="15"/>
      <c r="E36" s="15"/>
      <c r="F36" s="51" t="str">
        <f>(IF(F41&lt;&gt;"",MROUND(F41*0.3,5),""))</f>
        <v/>
      </c>
      <c r="G36" s="71" t="str">
        <f>IF(F36&lt;&gt;"",5,"")</f>
        <v/>
      </c>
      <c r="H36" s="7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30"/>
    </row>
    <row r="37" spans="1:23" ht="17.25" customHeight="1" thickBot="1" x14ac:dyDescent="0.3">
      <c r="A37" s="29"/>
      <c r="B37" s="118"/>
      <c r="C37" s="121"/>
      <c r="D37" s="66"/>
      <c r="E37" s="62"/>
      <c r="F37" s="6" t="str">
        <f>(IF(F41&lt;&gt;"",MROUND(F41*0.5,5),""))</f>
        <v/>
      </c>
      <c r="G37" s="67" t="str">
        <f>IF(F37&lt;&gt;"",5,"")</f>
        <v/>
      </c>
      <c r="H37" s="4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30"/>
    </row>
    <row r="38" spans="1:23" ht="17.25" customHeight="1" thickBot="1" x14ac:dyDescent="0.3">
      <c r="A38" s="29"/>
      <c r="B38" s="118"/>
      <c r="C38" s="121"/>
      <c r="D38" s="61"/>
      <c r="E38" s="62"/>
      <c r="F38" s="6" t="str">
        <f>(IF(F41&lt;&gt;"",MROUND(F41*0.7,5),""))</f>
        <v/>
      </c>
      <c r="G38" s="67" t="str">
        <f>IF(F38&lt;&gt;"",3,"")</f>
        <v/>
      </c>
      <c r="H38" s="49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30"/>
    </row>
    <row r="39" spans="1:23" ht="17.25" customHeight="1" x14ac:dyDescent="0.25">
      <c r="A39" s="29"/>
      <c r="B39" s="118"/>
      <c r="C39" s="121"/>
      <c r="D39" s="5"/>
      <c r="E39" s="22"/>
      <c r="F39" s="6" t="str">
        <f>(IF(F41&lt;&gt;"",MROUND(F41*0.8,5),""))</f>
        <v/>
      </c>
      <c r="G39" s="67" t="str">
        <f>IF(F39&lt;&gt;"",2,"")</f>
        <v/>
      </c>
      <c r="H39" s="49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30"/>
    </row>
    <row r="40" spans="1:23" ht="17.25" customHeight="1" x14ac:dyDescent="0.25">
      <c r="A40" s="29"/>
      <c r="B40" s="118"/>
      <c r="C40" s="121"/>
      <c r="D40" s="5"/>
      <c r="E40" s="22"/>
      <c r="F40" s="6" t="str">
        <f>(IF(F41&lt;&gt;"",MROUND(F41*0.9,5),""))</f>
        <v/>
      </c>
      <c r="G40" s="67" t="str">
        <f>IF(F40&lt;&gt;"",1,"")</f>
        <v/>
      </c>
      <c r="H40" s="82" t="s">
        <v>26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30"/>
    </row>
    <row r="41" spans="1:23" ht="17.25" customHeight="1" x14ac:dyDescent="0.25">
      <c r="A41" s="29"/>
      <c r="B41" s="118"/>
      <c r="C41" s="121"/>
      <c r="D41" s="63"/>
      <c r="E41" s="64"/>
      <c r="F41" s="6" t="str">
        <f>IF(D36="","",IF($D$11=1,IF(MIN(E36:E38)&gt;=6,D36+5,IF(MIN(E36:E38)=5,D36+2.5,IF(MIN(E36:E38)=4,D36+1,""))),IF(MIN(E36:E38)&gt;=6,D36+2,IF(MIN(E36:E38)=5,D36+1,IF(MIN(E36:E38)=4,D36+0.5,"")))))</f>
        <v/>
      </c>
      <c r="G41" s="69" t="str">
        <f>IF(F41&lt;&gt;"","3-6","")</f>
        <v/>
      </c>
      <c r="H41" s="82" t="s">
        <v>42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30"/>
    </row>
    <row r="42" spans="1:23" ht="18" customHeight="1" thickBot="1" x14ac:dyDescent="0.3">
      <c r="A42" s="29"/>
      <c r="B42" s="119"/>
      <c r="C42" s="122"/>
      <c r="D42" s="65"/>
      <c r="E42" s="50"/>
      <c r="F42" s="24" t="str">
        <f>IF(F41&lt;&gt;"",MROUND(F41*0.95,5),"")</f>
        <v/>
      </c>
      <c r="G42" s="70" t="str">
        <f>IF(F42&lt;&gt;"","3-6","")</f>
        <v/>
      </c>
      <c r="H42" s="79" t="s">
        <v>39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30"/>
    </row>
    <row r="43" spans="1:23" x14ac:dyDescent="0.25">
      <c r="A43" s="29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30"/>
    </row>
    <row r="44" spans="1:23" ht="15.75" thickBot="1" x14ac:dyDescent="0.3">
      <c r="A44" s="37" t="s">
        <v>4</v>
      </c>
      <c r="B44" s="53"/>
      <c r="C44" s="36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</row>
    <row r="46" spans="1:23" x14ac:dyDescent="0.25">
      <c r="A46" s="83" t="s">
        <v>44</v>
      </c>
    </row>
    <row r="47" spans="1:23" x14ac:dyDescent="0.25">
      <c r="A47" s="83"/>
    </row>
    <row r="48" spans="1:23" x14ac:dyDescent="0.25">
      <c r="A48" s="83" t="s">
        <v>45</v>
      </c>
    </row>
  </sheetData>
  <mergeCells count="17">
    <mergeCell ref="C22:C28"/>
    <mergeCell ref="J22:J28"/>
    <mergeCell ref="B13:V13"/>
    <mergeCell ref="A1:W1"/>
    <mergeCell ref="C29:C35"/>
    <mergeCell ref="B14:B42"/>
    <mergeCell ref="C36:C42"/>
    <mergeCell ref="Q15:Q21"/>
    <mergeCell ref="Q22:Q28"/>
    <mergeCell ref="Q29:Q35"/>
    <mergeCell ref="P14:P35"/>
    <mergeCell ref="A2:W2"/>
    <mergeCell ref="C10:H10"/>
    <mergeCell ref="D11:H11"/>
    <mergeCell ref="I14:I28"/>
    <mergeCell ref="C15:C21"/>
    <mergeCell ref="J15:J21"/>
  </mergeCells>
  <hyperlinks>
    <hyperlink ref="A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20" zoomScaleNormal="100" workbookViewId="0">
      <selection activeCell="E33" sqref="E33"/>
    </sheetView>
  </sheetViews>
  <sheetFormatPr defaultColWidth="9.140625" defaultRowHeight="15" x14ac:dyDescent="0.25"/>
  <cols>
    <col min="1" max="1" width="9.140625" style="28"/>
    <col min="2" max="2" width="25.28515625" style="28" customWidth="1"/>
    <col min="3" max="4" width="11.140625" style="28" customWidth="1"/>
    <col min="5" max="5" width="6.28515625" style="28" customWidth="1"/>
    <col min="6" max="7" width="12.140625" style="28" customWidth="1"/>
    <col min="8" max="8" width="10.28515625" style="28" customWidth="1"/>
    <col min="9" max="9" width="13.5703125" style="28" bestFit="1" customWidth="1"/>
    <col min="10" max="10" width="5.28515625" style="28" customWidth="1"/>
    <col min="11" max="16384" width="9.140625" style="28"/>
  </cols>
  <sheetData>
    <row r="1" spans="1:9" ht="61.9" thickBot="1" x14ac:dyDescent="1.1499999999999999">
      <c r="A1" s="141" t="s">
        <v>10</v>
      </c>
      <c r="B1" s="142"/>
      <c r="C1" s="142"/>
      <c r="D1" s="142"/>
      <c r="E1" s="142"/>
      <c r="F1" s="142"/>
      <c r="G1" s="142"/>
      <c r="H1" s="142"/>
      <c r="I1" s="142"/>
    </row>
    <row r="2" spans="1:9" ht="18" x14ac:dyDescent="0.3">
      <c r="A2" s="109" t="s">
        <v>2</v>
      </c>
      <c r="B2" s="110"/>
      <c r="C2" s="110"/>
      <c r="D2" s="110"/>
      <c r="E2" s="110"/>
      <c r="F2" s="110"/>
      <c r="G2" s="110"/>
      <c r="H2" s="110"/>
      <c r="I2" s="111"/>
    </row>
    <row r="3" spans="1:9" ht="14.45" x14ac:dyDescent="0.3">
      <c r="A3" s="85" t="s">
        <v>56</v>
      </c>
      <c r="B3" s="86"/>
      <c r="C3" s="11"/>
      <c r="D3" s="11"/>
      <c r="E3" s="11"/>
      <c r="F3" s="11"/>
      <c r="G3" s="11"/>
      <c r="H3" s="11"/>
      <c r="I3" s="30"/>
    </row>
    <row r="4" spans="1:9" ht="14.45" x14ac:dyDescent="0.3">
      <c r="A4" s="85" t="s">
        <v>57</v>
      </c>
      <c r="B4" s="86"/>
      <c r="C4" s="11"/>
      <c r="D4" s="11"/>
      <c r="E4" s="11"/>
      <c r="F4" s="11"/>
      <c r="G4" s="11"/>
      <c r="H4" s="11"/>
      <c r="I4" s="30"/>
    </row>
    <row r="5" spans="1:9" ht="14.45" x14ac:dyDescent="0.3">
      <c r="A5" s="85" t="s">
        <v>43</v>
      </c>
      <c r="B5" s="86"/>
      <c r="C5" s="11"/>
      <c r="D5" s="11"/>
      <c r="E5" s="11"/>
      <c r="F5" s="11"/>
      <c r="G5" s="11"/>
      <c r="H5" s="11"/>
      <c r="I5" s="30"/>
    </row>
    <row r="6" spans="1:9" ht="14.45" x14ac:dyDescent="0.3">
      <c r="A6" s="87" t="s">
        <v>28</v>
      </c>
      <c r="B6" s="86"/>
      <c r="C6" s="11"/>
      <c r="D6" s="11"/>
      <c r="E6" s="11"/>
      <c r="F6" s="11"/>
      <c r="G6" s="11"/>
      <c r="H6" s="11"/>
      <c r="I6" s="30"/>
    </row>
    <row r="7" spans="1:9" ht="14.45" x14ac:dyDescent="0.3">
      <c r="A7" s="87" t="s">
        <v>25</v>
      </c>
      <c r="B7" s="86"/>
      <c r="C7" s="11"/>
      <c r="D7" s="11"/>
      <c r="E7" s="11"/>
      <c r="F7" s="11"/>
      <c r="G7" s="11"/>
      <c r="H7" s="11"/>
      <c r="I7" s="30"/>
    </row>
    <row r="8" spans="1:9" ht="14.45" x14ac:dyDescent="0.3">
      <c r="A8" s="85" t="s">
        <v>41</v>
      </c>
      <c r="B8" s="86"/>
      <c r="C8" s="11"/>
      <c r="D8" s="11"/>
      <c r="E8" s="11"/>
      <c r="F8" s="11"/>
      <c r="G8" s="11"/>
      <c r="H8" s="11"/>
      <c r="I8" s="30"/>
    </row>
    <row r="9" spans="1:9" thickBot="1" x14ac:dyDescent="0.35">
      <c r="A9" s="29"/>
      <c r="B9" s="20"/>
      <c r="C9" s="11"/>
      <c r="D9" s="11"/>
      <c r="E9" s="11"/>
      <c r="F9" s="11"/>
      <c r="G9" s="11"/>
      <c r="H9" s="11"/>
      <c r="I9" s="30"/>
    </row>
    <row r="10" spans="1:9" thickBot="1" x14ac:dyDescent="0.35">
      <c r="A10" s="29"/>
      <c r="B10" s="134" t="s">
        <v>12</v>
      </c>
      <c r="C10" s="113"/>
      <c r="D10" s="113"/>
      <c r="E10" s="113"/>
      <c r="F10" s="113"/>
      <c r="G10" s="113"/>
      <c r="H10" s="113"/>
      <c r="I10" s="30"/>
    </row>
    <row r="11" spans="1:9" thickBot="1" x14ac:dyDescent="0.35">
      <c r="A11" s="29"/>
      <c r="B11" s="21" t="s">
        <v>11</v>
      </c>
      <c r="C11" s="115">
        <v>1</v>
      </c>
      <c r="D11" s="116"/>
      <c r="E11" s="116"/>
      <c r="F11" s="116"/>
      <c r="G11" s="116"/>
      <c r="H11" s="116"/>
      <c r="I11" s="30"/>
    </row>
    <row r="12" spans="1:9" thickBot="1" x14ac:dyDescent="0.35">
      <c r="A12" s="29"/>
      <c r="B12" s="35"/>
      <c r="C12" s="11"/>
      <c r="D12" s="11"/>
      <c r="E12" s="11"/>
      <c r="F12" s="11"/>
      <c r="G12" s="11"/>
      <c r="H12" s="11"/>
      <c r="I12" s="30"/>
    </row>
    <row r="13" spans="1:9" thickBot="1" x14ac:dyDescent="0.35">
      <c r="A13" s="29"/>
      <c r="B13" s="134" t="s">
        <v>53</v>
      </c>
      <c r="C13" s="113"/>
      <c r="D13" s="113"/>
      <c r="E13" s="113"/>
      <c r="F13" s="113"/>
      <c r="G13" s="113"/>
      <c r="H13" s="113"/>
      <c r="I13" s="30"/>
    </row>
    <row r="14" spans="1:9" thickBot="1" x14ac:dyDescent="0.35">
      <c r="A14" s="29"/>
      <c r="B14" s="21" t="s">
        <v>49</v>
      </c>
      <c r="C14" s="115">
        <v>1</v>
      </c>
      <c r="D14" s="116"/>
      <c r="E14" s="116"/>
      <c r="F14" s="116"/>
      <c r="G14" s="116"/>
      <c r="H14" s="116"/>
      <c r="I14" s="30"/>
    </row>
    <row r="15" spans="1:9" thickBot="1" x14ac:dyDescent="0.35">
      <c r="A15" s="35"/>
      <c r="B15" s="11"/>
      <c r="C15" s="11"/>
      <c r="D15" s="11"/>
      <c r="E15" s="11"/>
      <c r="F15" s="11"/>
      <c r="G15" s="11"/>
      <c r="H15" s="35"/>
      <c r="I15" s="30"/>
    </row>
    <row r="16" spans="1:9" thickBot="1" x14ac:dyDescent="0.35">
      <c r="A16" s="35"/>
      <c r="B16" s="134" t="s">
        <v>50</v>
      </c>
      <c r="C16" s="113"/>
      <c r="D16" s="113"/>
      <c r="E16" s="113"/>
      <c r="F16" s="113"/>
      <c r="G16" s="113"/>
      <c r="H16" s="113"/>
      <c r="I16" s="30"/>
    </row>
    <row r="17" spans="1:11" thickBot="1" x14ac:dyDescent="0.35">
      <c r="A17" s="35"/>
      <c r="B17" s="21" t="s">
        <v>51</v>
      </c>
      <c r="C17" s="115">
        <v>1</v>
      </c>
      <c r="D17" s="116"/>
      <c r="E17" s="116"/>
      <c r="F17" s="116"/>
      <c r="G17" s="116"/>
      <c r="H17" s="116"/>
      <c r="I17" s="30"/>
    </row>
    <row r="18" spans="1:11" thickBot="1" x14ac:dyDescent="0.35">
      <c r="A18" s="29"/>
      <c r="B18" s="11"/>
      <c r="C18" s="11"/>
      <c r="D18" s="11"/>
      <c r="E18" s="11"/>
      <c r="F18" s="11"/>
      <c r="G18" s="11"/>
      <c r="H18" s="11"/>
      <c r="I18" s="30"/>
    </row>
    <row r="19" spans="1:11" ht="18.600000000000001" thickBot="1" x14ac:dyDescent="0.35">
      <c r="A19" s="29"/>
      <c r="B19" s="123" t="s">
        <v>52</v>
      </c>
      <c r="C19" s="124"/>
      <c r="D19" s="124"/>
      <c r="E19" s="124"/>
      <c r="F19" s="124"/>
      <c r="G19" s="124"/>
      <c r="H19" s="125"/>
      <c r="I19" s="30"/>
    </row>
    <row r="20" spans="1:11" ht="18" customHeight="1" thickBot="1" x14ac:dyDescent="0.4">
      <c r="A20" s="29"/>
      <c r="B20" s="2" t="s">
        <v>0</v>
      </c>
      <c r="C20" s="58" t="s">
        <v>23</v>
      </c>
      <c r="D20" s="58" t="s">
        <v>1</v>
      </c>
      <c r="E20" s="58" t="s">
        <v>48</v>
      </c>
      <c r="F20" s="57" t="s">
        <v>22</v>
      </c>
      <c r="G20" s="59" t="s">
        <v>1</v>
      </c>
      <c r="H20" s="59" t="s">
        <v>21</v>
      </c>
      <c r="I20" s="30"/>
    </row>
    <row r="21" spans="1:11" ht="15.75" customHeight="1" thickBot="1" x14ac:dyDescent="0.3">
      <c r="A21" s="29"/>
      <c r="B21" s="120" t="str">
        <f>IF($C$17=1,"2-Count Pause Squat",IF($C$17=2,"2-Inch Deficit Deadlift",IF($C$17=3,"Competition Squat",IF($C$17=4,"Competition Deadlift",""))))</f>
        <v>2-Count Pause Squat</v>
      </c>
      <c r="C21" s="16"/>
      <c r="D21" s="7"/>
      <c r="E21" s="7"/>
      <c r="F21" s="51" t="str">
        <f>(IF(F27&lt;&gt;"",MROUND(F27*0.3,5),""))</f>
        <v/>
      </c>
      <c r="G21" s="68" t="str">
        <f>IF(F21&lt;&gt;"",5,"")</f>
        <v/>
      </c>
      <c r="H21" s="77"/>
      <c r="I21" s="30"/>
      <c r="K21" s="31"/>
    </row>
    <row r="22" spans="1:11" ht="15.75" customHeight="1" x14ac:dyDescent="0.25">
      <c r="A22" s="29"/>
      <c r="B22" s="121"/>
      <c r="C22" s="60"/>
      <c r="D22" s="84"/>
      <c r="E22" s="91"/>
      <c r="F22" s="6" t="str">
        <f>(IF(F27&lt;&gt;"",MROUND(F27*0.5,5),""))</f>
        <v/>
      </c>
      <c r="G22" s="67" t="str">
        <f>IF(F22&lt;&gt;"",5,"")</f>
        <v/>
      </c>
      <c r="H22" s="77"/>
      <c r="I22" s="30"/>
      <c r="K22" s="31"/>
    </row>
    <row r="23" spans="1:11" ht="15.75" customHeight="1" x14ac:dyDescent="0.25">
      <c r="A23" s="29"/>
      <c r="B23" s="121"/>
      <c r="C23" s="145" t="s">
        <v>54</v>
      </c>
      <c r="D23" s="143"/>
      <c r="E23" s="92" t="str">
        <f xml:space="preserve">
IF(AND(D21=1,E21=10),MROUND((C21/1)*1.005,0.5),
IF(AND(D21=1,E21=9.5),MROUND((C21/0.98)*1.005,0.5),
IF(AND(D21=1,E21=9),MROUND((C21/0.96)*1.005,0.5),
IF(AND(D21=1,E21=8.5),MROUND((C21/0.94)*1.005,0.5),
IF(AND(D21=1,E21=8),MROUND((C21/0.92)*1.005,0.5),
IF(AND(D21=1,E21=7.5),MROUND((C21/0.91)*1.005,0.5),
IF(AND(D21=1,E21=7),MROUND((C21/0.89)*1.005,0.5),
IF(AND(D21=1,E21=6.5),MROUND((C21/0.88)*1.005,0.5),
IF(AND(D21=2,E21=10),MROUND((C21/0.96)*1.005,0.5),
IF(AND(D21=2,E21=9.5),MROUND((C21/0.94)*1.005,0.5),
IF(AND(D21=2,E21=9),MROUND((C21/0.92)*1.005,0.5),
IF(AND(D21=2,E21=8.5),MROUND((C21/0.91)*1.005,0.5),
IF(AND(D21=2,E21=8),MROUND((C21/0.89)*1.005,0.5),
IF(AND(D21=2,E21=7.5),MROUND((C21/0.88)*1.005,0.5),
IF(AND(D21=2,E21=7),MROUND((C21/0.86)*1.005,0.5),
IF(AND(D21=2,E21=6.5),MROUND((C21/0.85)*1.005,0.5),
IF(AND(D21=3,E21=10),MROUND((C21/0.92)*1.005,0.5),
IF(AND(D21=3,E21=9.5),MROUND((C21/0.91)*1.005,0.5),
IF(AND(D21=3,E21=9),MROUND((C21/0.89)*1.005,0.5),
IF(AND(D21=3,E21=8.5),MROUND((C21/0.88)*1.005,0.5),
IF(AND(D21=3,E21=8),MROUND((C21/0.86)*1.005,0.5),
IF(AND(D21=3,E21=7.5),MROUND((C21/0.85)*1.005,0.5),
IF(AND(D21=3,E21=7),MROUND((C21/0.84)*1.005,0.5),
IF(AND(D21=3,E21=6.5),MROUND((C21/0.82)*1.005,0.5),
IF(AND(D21=4,E21=10),MROUND((C21/0.89)*1.005,0.5),
IF(AND(D21=4,E21=9.5),MROUND((C21/0.88)*1.005,0.5),
IF(AND(D21=4,E21=9),MROUND((C21/0.86)*1.005,0.5),
IF(AND(D21=4,E21=8.5),MROUND((C21/0.85)*1.005,0.5),
IF(AND(D21=4,E21=8),MROUND((C21/0.84)*1.005,0.5),
IF(AND(D21=4,E21=7.5),MROUND((C21/0.82)*1.005,0.5),
IF(AND(D21=4,E21=7),MROUND((C21/0.81)*1.005,0.5),
IF(AND(D21=4,E21=6.5),MROUND((C21/0.8)*1.005,0.5),
IF(AND(D21=5,E21=10),MROUND((C21/0.86)*1.005,0.5),
IF(AND(D21=5,E21=9.5),MROUND((C21/0.85)*1.005,0.5),
IF(AND(D21=5,E21=9),MROUND((C21/0.84)*1.005,0.5),
IF(AND(D21=5,E21=8.5),MROUND((C21/0.82)*1.005,0.5),
IF(AND(D21=5,E21=8),MROUND((C21/0.81)*1.005,0.5),
IF(AND(D21=5,E21=7.5),MROUND((C21/0.8)*1.005,0.5),
IF(AND(D21=5,E21=7),MROUND((C21/0.79)*1.005,0.5),
IF(AND(D21=5,E21=6.5),MROUND((C21/0.77)*1.005,0.5),
IF(AND(D21=6,E21=10),MROUND((C21/0.84)*1.005,0.5),
IF(AND(D21=6,E21=9.5),MROUND((C21/0.82)*1.005,0.5),
IF(AND(D21=6,E21=9),MROUND((C21/0.81)*1.005,0.5),
IF(AND(D21=6,E21=8.5),MROUND((C21/0.8)*1.005,0.5),
IF(AND(D21=6,E21=8),MROUND((C21/0.79)*1.005,0.5),
IF(AND(D21=6,E21=7.5),MROUND((C21/0.77)*1.005,0.5),
IF(AND(D21=6,E21=7),MROUND((C21/0.76)*1.005,0.5),
IF(AND(D21=6,E21=6.5),MROUND((C21/0.75)*1.005,0.5),
IF(AND(D21=7,E21=10),MROUND((C21/0.81)*1.005,0.5),
IF(AND(D21=7,E21=9.5),MROUND((C21/0.8)*1.005,0.5),
IF(AND(D21=7,E21=9),MROUND((C21/0.79)*1.005,0.5),
IF(AND(D21=7,E21=8.5),MROUND((C21/0.77)*1.005,0.5),
IF(AND(D21=7,E21=8),MROUND((C21/0.76)*1.005,0.5),
IF(AND(D21=7,E21=7.5),MROUND((C21/0.75)*1.005,0.5),
IF(AND(D21=7,E21=7),MROUND((C21/0.74)*1.005,0.5),
IF(AND(D21=7,E21=6.5),MROUND((C21/0.72)*1.005,0.5),
IF(AND(D21=8,E21=10),MROUND((C21/0.79)*1.005,0.5),
IF(AND(D21=8,E21=9.5),MROUND((C21/0.77)*1.005,0.5),
IF(AND(D21=8,E21=9),MROUND((C21/0.76)*1.005,0.5),
IF(AND(D21=8,E21=8.5),MROUND((C21/0.75)*1.005,0.5),
IF(AND(D21=8,E21=8),MROUND((C21/0.74)*1.005,0.5),
IF(AND(D21=8,E21=7.5),MROUND((C21/0.72)*1.005,0.5),
IF(AND(D21=8,E21=7),MROUND((C21/0.71)*1.005,0.5),
IF(AND(D21=8,E21=6.5),MROUND((C21/0.69)*1.005,0.5),""
))))))))))))))))))))))))))))))))))))))))))))))))))))))))))))))))</f>
        <v/>
      </c>
      <c r="F23" s="6" t="str">
        <f>(IF(F27&lt;&gt;"",MROUND(F27*0.7,5),""))</f>
        <v/>
      </c>
      <c r="G23" s="67" t="str">
        <f>IF(F23&lt;&gt;"",3,"")</f>
        <v/>
      </c>
      <c r="H23" s="49"/>
      <c r="I23" s="30"/>
      <c r="K23" s="31"/>
    </row>
    <row r="24" spans="1:11" ht="15.75" customHeight="1" x14ac:dyDescent="0.25">
      <c r="A24" s="29"/>
      <c r="B24" s="121"/>
      <c r="C24" s="143" t="s">
        <v>55</v>
      </c>
      <c r="D24" s="144"/>
      <c r="E24" s="92" t="str">
        <f>IF(E23&lt;&gt;"",MROUND((F27)/IF(G27=6,0.81,IF(G27=5,0.84,IF(G27=4,0.86,IF(G27=3,0.89,IF(G27=2,0.92,IF(G27=1,0.96,"")))))),0.5),"")</f>
        <v/>
      </c>
      <c r="F24" s="6" t="str">
        <f>(IF(F27&lt;&gt;"",MROUND(F27*0.8,5),""))</f>
        <v/>
      </c>
      <c r="G24" s="67" t="str">
        <f>IF(F24&lt;&gt;"",1,"")</f>
        <v/>
      </c>
      <c r="H24" s="49"/>
      <c r="I24" s="30"/>
      <c r="K24" s="31"/>
    </row>
    <row r="25" spans="1:11" ht="15" customHeight="1" x14ac:dyDescent="0.25">
      <c r="A25" s="29"/>
      <c r="B25" s="121"/>
      <c r="C25" s="23"/>
      <c r="D25" s="48"/>
      <c r="E25" s="9"/>
      <c r="F25" s="6" t="str">
        <f>(IF(F27&lt;&gt;"",MROUND(F27*0.9,5),""))</f>
        <v/>
      </c>
      <c r="G25" s="6" t="str">
        <f>IF(G27&lt;&gt;"",G27,"")</f>
        <v/>
      </c>
      <c r="H25" s="49"/>
      <c r="I25" s="30"/>
      <c r="K25" s="31"/>
    </row>
    <row r="26" spans="1:11" ht="15" customHeight="1" x14ac:dyDescent="0.25">
      <c r="A26" s="29"/>
      <c r="B26" s="121"/>
      <c r="C26" s="14"/>
      <c r="D26" s="75"/>
      <c r="E26" s="22"/>
      <c r="F26" s="6" t="str">
        <f>(IF(F27&lt;&gt;"",MROUND(F27*0.95,5),""))</f>
        <v/>
      </c>
      <c r="G26" s="6" t="str">
        <f>IF(G27&lt;&gt;"",G27,"")</f>
        <v/>
      </c>
      <c r="H26" s="82" t="str">
        <f>IF(F27&lt;&gt;"","Load Drop","")</f>
        <v/>
      </c>
      <c r="I26" s="30"/>
      <c r="K26" s="31"/>
    </row>
    <row r="27" spans="1:11" ht="15" customHeight="1" x14ac:dyDescent="0.25">
      <c r="A27" s="29"/>
      <c r="B27" s="121"/>
      <c r="C27" s="40"/>
      <c r="D27" s="40"/>
      <c r="E27" s="64"/>
      <c r="F27" s="6" t="str">
        <f>IF(E23&lt;&gt;"",MROUND((E23*1.005)*IF(G27=6,0.81,IF(G27=5,0.84,IF(G27=4,0.86,IF(G27=3,0.89,IF(G27=2,0.92,IF(G27=1,0.96,"")))))),0.5),"")</f>
        <v/>
      </c>
      <c r="G27" s="6" t="str">
        <f>IF(E23&lt;&gt;"",
IF(AND(C$14=1,OR(C$17=1,C$17=2)),6,
IF(AND(C$14=2,OR(C$17=1,C$17=2)),5,
IF(AND(C$14=3,OR(C$17=1,C$17=2)),4,
IF(AND(C$14=1,OR(C$17=3,C$17=4)),3,
IF(AND(C$14=2,OR(C$17=3,C$17=4)),2,
IF(AND(C$14=3,OR(C$17=3,C$17=4)),1,"")))))),"")</f>
        <v/>
      </c>
      <c r="H27" s="82" t="str">
        <f>IF(F28&lt;&gt;"","RPE 9","")</f>
        <v/>
      </c>
      <c r="I27" s="30"/>
      <c r="K27" s="88"/>
    </row>
    <row r="28" spans="1:11" ht="15.75" customHeight="1" thickBot="1" x14ac:dyDescent="0.3">
      <c r="A28" s="29"/>
      <c r="B28" s="122"/>
      <c r="C28" s="47"/>
      <c r="D28" s="47"/>
      <c r="E28" s="50"/>
      <c r="F28" s="73" t="str">
        <f>IF(F27&lt;&gt;"",IF(H28="2-3%",MROUND(F27*0.975,0.5),IF(H28="4-6%",MROUND(F27*0.95,0.5),IF(H28="6-9%",MROUND(F27*0.925,0.5),""))),"")</f>
        <v/>
      </c>
      <c r="G28" s="73" t="str">
        <f>IF(G27&lt;&gt;"",G27,"")</f>
        <v/>
      </c>
      <c r="H28" s="79" t="str">
        <f>IF(F27&lt;&gt;"",IF(OR(C$17=1,C$17=2),"6-9%",IF(OR(C$17=3,C$17=4),"2-3%","")),"")</f>
        <v/>
      </c>
      <c r="I28" s="30"/>
      <c r="K28" s="31"/>
    </row>
    <row r="29" spans="1:11" ht="15.75" customHeight="1" thickBot="1" x14ac:dyDescent="0.3">
      <c r="A29" s="29"/>
      <c r="B29" s="93" t="str">
        <f>IF($C$17=1,"2-Count Pause Bench",IF($C$17=2,"Closegrip Bench",IF($C$17=3,"Competition Bench",IF($C$17=4,"Touch and Go Bench",""))))</f>
        <v>2-Count Pause Bench</v>
      </c>
      <c r="C29" s="7"/>
      <c r="D29" s="7"/>
      <c r="E29" s="7"/>
      <c r="F29" s="51" t="str">
        <f>(IF(F35&lt;&gt;"",MROUND(F35*0.3,5),""))</f>
        <v/>
      </c>
      <c r="G29" s="68" t="str">
        <f>IF(F29&lt;&gt;"",5,"")</f>
        <v/>
      </c>
      <c r="H29" s="77"/>
      <c r="I29" s="30"/>
      <c r="K29" s="89"/>
    </row>
    <row r="30" spans="1:11" ht="15.75" customHeight="1" thickBot="1" x14ac:dyDescent="0.3">
      <c r="A30" s="29"/>
      <c r="B30" s="94"/>
      <c r="C30" s="66"/>
      <c r="D30" s="84"/>
      <c r="E30" s="62"/>
      <c r="F30" s="6" t="str">
        <f>(IF(F35&lt;&gt;"",MROUND(F35*0.5,5),""))</f>
        <v/>
      </c>
      <c r="G30" s="67" t="str">
        <f>IF(F30&lt;&gt;"",5,"")</f>
        <v/>
      </c>
      <c r="H30" s="77"/>
      <c r="I30" s="30"/>
    </row>
    <row r="31" spans="1:11" ht="15.75" customHeight="1" x14ac:dyDescent="0.25">
      <c r="A31" s="29"/>
      <c r="B31" s="94"/>
      <c r="C31" s="145" t="s">
        <v>54</v>
      </c>
      <c r="D31" s="143"/>
      <c r="E31" s="92" t="str">
        <f xml:space="preserve">
IF(AND(D29=1,E29=10),MROUND((C29/1)*1.005,0.5),
IF(AND(D29=1,E29=9.5),MROUND((C29/0.98)*1.005,0.5),
IF(AND(D29=1,E29=9),MROUND((C29/0.96)*1.005,0.5),
IF(AND(D29=1,E29=8.5),MROUND((C29/0.94)*1.005,0.5),
IF(AND(D29=1,E29=8),MROUND((C29/0.92)*1.005,0.5),
IF(AND(D29=1,E29=7.5),MROUND((C29/0.91)*1.005,0.5),
IF(AND(D29=1,E29=7),MROUND((C29/0.89)*1.005,0.5),
IF(AND(D29=1,E29=6.5),MROUND((C29/0.88)*1.005,0.5),
IF(AND(D29=2,E29=10),MROUND((C29/0.96)*1.005,0.5),
IF(AND(D29=2,E29=9.5),MROUND((C29/0.94)*1.005,0.5),
IF(AND(D29=2,E29=9),MROUND((C29/0.92)*1.005,0.5),
IF(AND(D29=2,E29=8.5),MROUND((C29/0.91)*1.005,0.5),
IF(AND(D29=2,E29=8),MROUND((C29/0.89)*1.005,0.5),
IF(AND(D29=2,E29=7.5),MROUND((C29/0.88)*1.005,0.5),
IF(AND(D29=2,E29=7),MROUND((C29/0.86)*1.005,0.5),
IF(AND(D29=2,E29=6.5),MROUND((C29/0.85)*1.005,0.5),
IF(AND(D29=3,E29=10),MROUND((C29/0.92)*1.005,0.5),
IF(AND(D29=3,E29=9.5),MROUND((C29/0.91)*1.005,0.5),
IF(AND(D29=3,E29=9),MROUND((C29/0.89)*1.005,0.5),
IF(AND(D29=3,E29=8.5),MROUND((C29/0.88)*1.005,0.5),
IF(AND(D29=3,E29=8),MROUND((C29/0.86)*1.005,0.5),
IF(AND(D29=3,E29=7.5),MROUND((C29/0.85)*1.005,0.5),
IF(AND(D29=3,E29=7),MROUND((C29/0.84)*1.005,0.5),
IF(AND(D29=3,E29=6.5),MROUND((C29/0.82)*1.005,0.5),
IF(AND(D29=4,E29=10),MROUND((C29/0.89)*1.005,0.5),
IF(AND(D29=4,E29=9.5),MROUND((C29/0.88)*1.005,0.5),
IF(AND(D29=4,E29=9),MROUND((C29/0.86)*1.005,0.5),
IF(AND(D29=4,E29=8.5),MROUND((C29/0.85)*1.005,0.5),
IF(AND(D29=4,E29=8),MROUND((C29/0.84)*1.005,0.5),
IF(AND(D29=4,E29=7.5),MROUND((C29/0.82)*1.005,0.5),
IF(AND(D29=4,E29=7),MROUND((C29/0.81)*1.005,0.5),
IF(AND(D29=4,E29=6.5),MROUND((C29/0.8)*1.005,0.5),
IF(AND(D29=5,E29=10),MROUND((C29/0.86)*1.005,0.5),
IF(AND(D29=5,E29=9.5),MROUND((C29/0.85)*1.005,0.5),
IF(AND(D29=5,E29=9),MROUND((C29/0.84)*1.005,0.5),
IF(AND(D29=5,E29=8.5),MROUND((C29/0.82)*1.005,0.5),
IF(AND(D29=5,E29=8),MROUND((C29/0.81)*1.005,0.5),
IF(AND(D29=5,E29=7.5),MROUND((C29/0.8)*1.005,0.5),
IF(AND(D29=5,E29=7),MROUND((C29/0.79)*1.005,0.5),
IF(AND(D29=5,E29=6.5),MROUND((C29/0.77)*1.005,0.5),
IF(AND(D29=6,E29=10),MROUND((C29/0.84)*1.005,0.5),
IF(AND(D29=6,E29=9.5),MROUND((C29/0.82)*1.005,0.5),
IF(AND(D29=6,E29=9),MROUND((C29/0.81)*1.005,0.5),
IF(AND(D29=6,E29=8.5),MROUND((C29/0.8)*1.005,0.5),
IF(AND(D29=6,E29=8),MROUND((C29/0.79)*1.005,0.5),
IF(AND(D29=6,E29=7.5),MROUND((C29/0.77)*1.005,0.5),
IF(AND(D29=6,E29=7),MROUND((C29/0.76)*1.005,0.5),
IF(AND(D29=6,E29=6.5),MROUND((C29/0.75)*1.005,0.5),
IF(AND(D29=7,E29=10),MROUND((C29/0.81)*1.005,0.5),
IF(AND(D29=7,E29=9.5),MROUND((C29/0.8)*1.005,0.5),
IF(AND(D29=7,E29=9),MROUND((C29/0.79)*1.005,0.5),
IF(AND(D29=7,E29=8.5),MROUND((C29/0.77)*1.005,0.5),
IF(AND(D29=7,E29=8),MROUND((C29/0.76)*1.005,0.5),
IF(AND(D29=7,E29=7.5),MROUND((C29/0.75)*1.005,0.5),
IF(AND(D29=7,E29=7),MROUND((C29/0.74)*1.005,0.5),
IF(AND(D29=7,E29=6.5),MROUND((C29/0.72)*1.005,0.5),
IF(AND(D29=8,E29=10),MROUND((C29/0.79)*1.005,0.5),
IF(AND(D29=8,E29=9.5),MROUND((C29/0.77)*1.005,0.5),
IF(AND(D29=8,E29=9),MROUND((C29/0.76)*1.005,0.5),
IF(AND(D29=8,E29=8.5),MROUND((C29/0.75)*1.005,0.5),
IF(AND(D29=8,E29=8),MROUND((C29/0.74)*1.005,0.5),
IF(AND(D29=8,E29=7.5),MROUND((C29/0.72)*1.005,0.5),
IF(AND(D29=8,E29=7),MROUND((C29/0.71)*1.005,0.5),
IF(AND(D29=8,E29=6.5),MROUND((C29/0.69)*1.005,0.5),""
))))))))))))))))))))))))))))))))))))))))))))))))))))))))))))))))</f>
        <v/>
      </c>
      <c r="F31" s="6" t="str">
        <f>(IF(F35&lt;&gt;"",MROUND(F35*0.7,5),""))</f>
        <v/>
      </c>
      <c r="G31" s="67" t="str">
        <f>IF(F31&lt;&gt;"",3,"")</f>
        <v/>
      </c>
      <c r="H31" s="49"/>
      <c r="I31" s="30"/>
    </row>
    <row r="32" spans="1:11" ht="15.75" customHeight="1" x14ac:dyDescent="0.25">
      <c r="A32" s="29"/>
      <c r="B32" s="94"/>
      <c r="C32" s="143" t="s">
        <v>55</v>
      </c>
      <c r="D32" s="144"/>
      <c r="E32" s="92" t="str">
        <f>IF(E31&lt;&gt;"",MROUND((F35)/IF(G35=6,0.81,IF(G35=5,0.84,IF(G35=4,0.86,IF(G35=3,0.89,IF(G35=2,0.92,IF(G35=1,0.96,"")))))),0.5),"")</f>
        <v/>
      </c>
      <c r="F32" s="6" t="str">
        <f>(IF(F35&lt;&gt;"",MROUND(F35*0.8,5),""))</f>
        <v/>
      </c>
      <c r="G32" s="67" t="str">
        <f>IF(F32&lt;&gt;"",1,"")</f>
        <v/>
      </c>
      <c r="H32" s="49"/>
      <c r="I32" s="30"/>
    </row>
    <row r="33" spans="1:9" ht="15" customHeight="1" x14ac:dyDescent="0.25">
      <c r="A33" s="29"/>
      <c r="B33" s="94"/>
      <c r="C33" s="5"/>
      <c r="D33" s="75"/>
      <c r="E33" s="22"/>
      <c r="F33" s="6" t="str">
        <f>(IF(F35&lt;&gt;"",MROUND(F35*0.9,5),""))</f>
        <v/>
      </c>
      <c r="G33" s="6" t="str">
        <f>IF(G35&lt;&gt;"",G35,"")</f>
        <v/>
      </c>
      <c r="H33" s="49"/>
      <c r="I33" s="30"/>
    </row>
    <row r="34" spans="1:9" ht="15" customHeight="1" x14ac:dyDescent="0.25">
      <c r="A34" s="29"/>
      <c r="B34" s="94"/>
      <c r="C34" s="5"/>
      <c r="D34" s="75"/>
      <c r="E34" s="22"/>
      <c r="F34" s="6" t="str">
        <f>(IF(F35&lt;&gt;"",MROUND(F35*0.95,5),""))</f>
        <v/>
      </c>
      <c r="G34" s="6" t="str">
        <f>IF(G35&lt;&gt;"",G35,"")</f>
        <v/>
      </c>
      <c r="H34" s="82" t="str">
        <f>IF(F35&lt;&gt;"","Load Drop","")</f>
        <v/>
      </c>
      <c r="I34" s="30"/>
    </row>
    <row r="35" spans="1:9" ht="15" customHeight="1" x14ac:dyDescent="0.25">
      <c r="A35" s="29"/>
      <c r="B35" s="94"/>
      <c r="C35" s="63"/>
      <c r="D35" s="40"/>
      <c r="E35" s="64"/>
      <c r="F35" s="6" t="str">
        <f>IF(E31&lt;&gt;"",MROUND((E31*1.005)*IF(G35=6,0.81,IF(G35=5,0.84,IF(G35=4,0.86,IF(G35=3,0.89,IF(G35=2,0.92,IF(G35=1,0.96,"")))))),0.5),"")</f>
        <v/>
      </c>
      <c r="G35" s="6" t="str">
        <f>IF(E31&lt;&gt;"",
IF(AND(C$14=1,OR(C$17=1,C$17=2)),6,
IF(AND(C$14=2,OR(C$17=1,C$17=2)),5,
IF(AND(C$14=3,OR(C$17=1,C$17=2)),4,
IF(AND(C$14=1,OR(C$17=3,C$17=4)),3,
IF(AND(C$14=2,OR(C$17=3,C$17=4)),2,
IF(AND(C$14=3,OR(C$17=3,C$17=4)),1,"")))))),"")</f>
        <v/>
      </c>
      <c r="H35" s="82" t="str">
        <f>IF(F36&lt;&gt;"","RPE 9","")</f>
        <v/>
      </c>
      <c r="I35" s="30"/>
    </row>
    <row r="36" spans="1:9" ht="15.75" customHeight="1" thickBot="1" x14ac:dyDescent="0.3">
      <c r="A36" s="29"/>
      <c r="B36" s="95"/>
      <c r="C36" s="65"/>
      <c r="D36" s="47"/>
      <c r="E36" s="50"/>
      <c r="F36" s="73" t="str">
        <f>IF(F35&lt;&gt;"",IF(H36="2-3%",MROUND(F35*0.975,0.5),IF(H36="4-6%",MROUND(F35*0.95,0.5),IF(H36="6-9%",MROUND(F35*0.925,0.5),""))),"")</f>
        <v/>
      </c>
      <c r="G36" s="73" t="str">
        <f>IF(G35&lt;&gt;"",G35,"")</f>
        <v/>
      </c>
      <c r="H36" s="79" t="str">
        <f>IF(F35&lt;&gt;"",IF(OR(C$17=1,C$17=2),"6-9%",IF(OR(C$17=3,C$17=4),"2-3%","")),"")</f>
        <v/>
      </c>
      <c r="I36" s="30"/>
    </row>
    <row r="37" spans="1:9" ht="15.75" customHeight="1" thickBot="1" x14ac:dyDescent="0.3">
      <c r="A37" s="29"/>
      <c r="B37" s="93" t="str">
        <f>IF($C$17=1,"Incline Bench",IF($C$17=2,"Front Squat",IF($C$17=3,"Overhead Press",IF($C$17=4,"2-Inch Deficit Stiff-Legged Deadlift",""))))</f>
        <v>Incline Bench</v>
      </c>
      <c r="C37" s="7"/>
      <c r="D37" s="7"/>
      <c r="E37" s="7"/>
      <c r="F37" s="51" t="str">
        <f>(IF(F43&lt;&gt;"",MROUND(F43*0.3,5),""))</f>
        <v/>
      </c>
      <c r="G37" s="68" t="str">
        <f>IF(F37&lt;&gt;"",5,"")</f>
        <v/>
      </c>
      <c r="H37" s="77"/>
      <c r="I37" s="30"/>
    </row>
    <row r="38" spans="1:9" ht="15.75" customHeight="1" thickBot="1" x14ac:dyDescent="0.3">
      <c r="A38" s="29"/>
      <c r="B38" s="94"/>
      <c r="C38" s="66"/>
      <c r="D38" s="84"/>
      <c r="E38" s="62"/>
      <c r="F38" s="6" t="str">
        <f>(IF(F43&lt;&gt;"",MROUND(F43*0.5,5),""))</f>
        <v/>
      </c>
      <c r="G38" s="67" t="str">
        <f>IF(F38&lt;&gt;"",5,"")</f>
        <v/>
      </c>
      <c r="H38" s="77"/>
      <c r="I38" s="30"/>
    </row>
    <row r="39" spans="1:9" ht="15.75" customHeight="1" x14ac:dyDescent="0.25">
      <c r="A39" s="29"/>
      <c r="B39" s="94"/>
      <c r="C39" s="145" t="s">
        <v>54</v>
      </c>
      <c r="D39" s="143"/>
      <c r="E39" s="92" t="str">
        <f xml:space="preserve">
IF(AND(D37=3,E37=10),MROUND((C37/0.92),0.5),
IF(AND(D37=3,E37=9.5),MROUND((C37/0.91),0.5),
IF(AND(D37=3,E37=9),MROUND((C37/0.89),0.5),
IF(AND(D37=3,E37=8.5),MROUND((C37/0.88),0.5),
IF(AND(D37=3,E37=8),MROUND((C37/0.86),0.5),
IF(AND(D37=3,E37=7.5),MROUND((C37/0.85),0.5),
IF(AND(D37=3,E37=7),MROUND((C37/0.84),0.5),
IF(AND(D37=3,E37=6.5),MROUND((C37/0.82),0.5),
IF(AND(D37=4,E37=10),MROUND((C37/0.89),0.5),
IF(AND(D37=4,E37=9.5),MROUND((C37/0.88),0.5),
IF(AND(D37=4,E37=9),MROUND((C37/0.86),0.5),
IF(AND(D37=4,E37=8.5),MROUND((C37/0.85),0.5),
IF(AND(D37=4,E37=8),MROUND((C37/0.84),0.5),
IF(AND(D37=4,E37=7.5),MROUND((C37/0.82),0.5),
IF(AND(D37=4,E37=7),MROUND((C37/0.81),0.5),
IF(AND(D37=4,E37=6.5),MROUND((C37/0.8),0.5),
IF(AND(D37=5,E37=10),MROUND((C37/0.86),0.5),
IF(AND(D37=5,E37=9.5),MROUND((C37/0.85),0.5),
IF(AND(D37=5,E37=9),MROUND((C37/0.84),0.5),
IF(AND(D37=5,E37=8.5),MROUND((C37/0.82),0.5),
IF(AND(D37=5,E37=8),MROUND((C37/0.81),0.5),
IF(AND(D37=5,E37=7.5),MROUND((C37/0.8),0.5),
IF(AND(D37=5,E37=7),MROUND((C37/0.79),0.5),
IF(AND(D37=5,E37=6.5),MROUND((C37/0.77),0.5),
IF(AND(D37=6,E37=10),MROUND((C37/0.84),0.5),
IF(AND(D37=6,E37=9.5),MROUND((C37/0.82),0.5),
IF(AND(D37=6,E37=9),MROUND((C37/0.81),0.5),
IF(AND(D37=6,E37=8.5),MROUND((C37/0.8),0.5),
IF(AND(D37=6,E37=8),MROUND((C37/0.79),0.5),
IF(AND(D37=6,E37=7.5),MROUND((C37/0.77),0.5),
IF(AND(D37=6,E37=7),MROUND((C37/0.76),0.5),
IF(AND(D37=6,E37=6.5),MROUND((C37/0.75),0.5),
IF(AND(D37=7,E37=10),MROUND((C37/0.81),0.5),
IF(AND(D37=7,E37=9.5),MROUND((C37/0.8),0.5),
IF(AND(D37=7,E37=9),MROUND((C37/0.79),0.5),
IF(AND(D37=7,E37=8.5),MROUND((C37/0.77),0.5),
IF(AND(D37=7,E37=8),MROUND((C37/0.76),0.5),
IF(AND(D37=7,E37=7.5),MROUND((C37/0.75),0.5),
IF(AND(D37=7,E37=7),MROUND((C37/0.74),0.5),
IF(AND(D37=7,E37=6.5),MROUND((C37/0.72),0.5),
IF(AND(D37=8,E37=10),MROUND((C37/0.79),0.5),
IF(AND(D37=8,E37=9.5),MROUND((C37/0.77),0.5),
IF(AND(D37=8,E37=9),MROUND((C37/0.76),0.5),
IF(AND(D37=8,E37=8.5),MROUND((C37/0.75),0.5),
IF(AND(D37=8,E37=8),MROUND((C37/0.74),0.5),
IF(AND(D37=8,E37=7.5),MROUND((C37/0.72),0.5),
IF(AND(D37=8,E37=7),MROUND((C37/0.71),0.5),
IF(AND(D37=8,E37=6.5),MROUND((C37/0.69),0.5),
IF(AND(D37=9,E37=10),MROUND((C37/0.76),0.5),
IF(AND(D37=9,E37=9.5),MROUND((C37/0.75),0.5),
IF(AND(D37=9,E37=9),MROUND((C37/0.74),0.5),
IF(AND(D37=9,E37=8.5),MROUND((C37/0.72),0.5),
IF(AND(D37=9,E37=8),MROUND((C37/0.71),0.5),
IF(AND(D37=9,E37=7.5),MROUND((C37/0.69),0.5),
IF(AND(D37=9,E37=7),MROUND((C37/0.68),0.5),
IF(AND(D37=9,E37=6.5),MROUND((C37/0.67),0.5),
IF(AND(D37=10,E37=10),MROUND((C37/0.74),0.5),
IF(AND(D37=10,E37=9.5),MROUND((C37/0.72),0.5),
IF(AND(D37=10,E37=9),MROUND((C37/0.71),0.5),
IF(AND(D37=10,E37=8.5),MROUND((C37/0.69),0.5),
IF(AND(D37=10,E37=8),MROUND((C37/0.68),0.5),
IF(AND(D37=10,E37=7.5),MROUND((C37/0.67),0.5),
IF(AND(D37=10,E37=7),MROUND((C37/0.65),0.5),
IF(AND(D37=10,E37=6.5),MROUND((C37/0.64),0.5),""
))))))))))))))))))))))))))))))))))))))))))))))))))))))))))))))))</f>
        <v/>
      </c>
      <c r="F39" s="6" t="str">
        <f>(IF(F43&lt;&gt;"",MROUND(F43*0.7,5),""))</f>
        <v/>
      </c>
      <c r="G39" s="67" t="str">
        <f>IF(F39&lt;&gt;"",3,"")</f>
        <v/>
      </c>
      <c r="H39" s="49"/>
      <c r="I39" s="30"/>
    </row>
    <row r="40" spans="1:9" ht="15.75" customHeight="1" x14ac:dyDescent="0.25">
      <c r="A40" s="29"/>
      <c r="B40" s="94"/>
      <c r="C40" s="143" t="s">
        <v>55</v>
      </c>
      <c r="D40" s="144"/>
      <c r="E40" s="92" t="str">
        <f>IF(E39&lt;&gt;"",MROUND(F43/IF(G43=6,0.79,IF(G43=7,0.76,IF(G43=8,0.74,""))),0.5),"")</f>
        <v/>
      </c>
      <c r="F40" s="6" t="str">
        <f>(IF(F43&lt;&gt;"",MROUND(F43*0.8,5),""))</f>
        <v/>
      </c>
      <c r="G40" s="67" t="str">
        <f>IF(F40&lt;&gt;"",1,"")</f>
        <v/>
      </c>
      <c r="H40" s="49"/>
      <c r="I40" s="30"/>
    </row>
    <row r="41" spans="1:9" ht="15" customHeight="1" x14ac:dyDescent="0.25">
      <c r="A41" s="29"/>
      <c r="B41" s="94"/>
      <c r="C41" s="5"/>
      <c r="D41" s="75"/>
      <c r="E41" s="22"/>
      <c r="F41" s="6" t="str">
        <f>(IF(F43&lt;&gt;"",MROUND(F43*0.9,5),""))</f>
        <v/>
      </c>
      <c r="G41" s="6" t="str">
        <f>IF(G43&lt;&gt;"",G43,"")</f>
        <v/>
      </c>
      <c r="H41" s="49"/>
      <c r="I41" s="30"/>
    </row>
    <row r="42" spans="1:9" ht="15" customHeight="1" x14ac:dyDescent="0.25">
      <c r="A42" s="29"/>
      <c r="B42" s="94"/>
      <c r="C42" s="5"/>
      <c r="D42" s="75"/>
      <c r="E42" s="22"/>
      <c r="F42" s="6" t="str">
        <f>(IF(F43&lt;&gt;"",MROUND(F43*0.95,5),""))</f>
        <v/>
      </c>
      <c r="G42" s="6" t="str">
        <f>IF(G43&lt;&gt;"",G43,"")</f>
        <v/>
      </c>
      <c r="H42" s="82" t="str">
        <f>IF(F43&lt;&gt;"","Repeat","")</f>
        <v/>
      </c>
      <c r="I42" s="30"/>
    </row>
    <row r="43" spans="1:9" ht="15" customHeight="1" x14ac:dyDescent="0.25">
      <c r="A43" s="29"/>
      <c r="B43" s="94"/>
      <c r="C43" s="63"/>
      <c r="D43" s="40"/>
      <c r="E43" s="64"/>
      <c r="F43" s="90" t="str">
        <f>IF(E39&lt;&gt;"",MROUND((E39*1.005)*IF(G43=8,0.74,IF(G43=7,0.76,IF(G43=6,0.79,""))),0.5),"")</f>
        <v/>
      </c>
      <c r="G43" s="6" t="str">
        <f>IF(E39&lt;&gt;"",
IF(AND(C$14=1,OR(C$17=1,C$17=2)),8,
IF(AND(C$14=2,OR(C$17=1,C$17=2)),7,
IF(AND(C$14=3,OR(C$17=1,C$17=2)),6,
IF(AND(C$14=1,OR(C$17=3,C$17=4)),8,
IF(AND(C$14=2,OR(C$17=3,C$17=4)),7,
IF(AND(C$14=3,OR(C$17=3,C$17=4)),6,"")))))),"")</f>
        <v/>
      </c>
      <c r="H43" s="82" t="str">
        <f>IF(F44&lt;&gt;"","RPE 8","")</f>
        <v/>
      </c>
      <c r="I43" s="30"/>
    </row>
    <row r="44" spans="1:9" ht="15.75" customHeight="1" thickBot="1" x14ac:dyDescent="0.3">
      <c r="A44" s="29"/>
      <c r="B44" s="95"/>
      <c r="C44" s="65"/>
      <c r="D44" s="47"/>
      <c r="E44" s="50"/>
      <c r="F44" s="73" t="str">
        <f>IF(F43&lt;&gt;"",IF(H44="2-3%",MROUND(F43*0.975,0.5),IF(H44="4-6%",MROUND(F43*0.95,0.5),IF(H44="6-9%",MROUND(F43*0.925,0.5),""))),"")</f>
        <v/>
      </c>
      <c r="G44" s="73" t="str">
        <f>IF(G43&lt;&gt;"",G43,"")</f>
        <v/>
      </c>
      <c r="H44" s="79" t="str">
        <f>IF(F43&lt;&gt;"","4-6%","")</f>
        <v/>
      </c>
      <c r="I44" s="30"/>
    </row>
    <row r="45" spans="1:9" ht="14.45" x14ac:dyDescent="0.3">
      <c r="A45" s="29"/>
      <c r="B45" s="11"/>
      <c r="C45" s="11"/>
      <c r="D45" s="11"/>
      <c r="E45" s="11"/>
      <c r="F45" s="11"/>
      <c r="G45" s="11"/>
      <c r="H45" s="11"/>
      <c r="I45" s="30"/>
    </row>
    <row r="46" spans="1:9" thickBot="1" x14ac:dyDescent="0.35">
      <c r="A46" s="37" t="s">
        <v>4</v>
      </c>
      <c r="B46" s="36"/>
      <c r="C46" s="33"/>
      <c r="D46" s="33"/>
      <c r="E46" s="33"/>
      <c r="F46" s="33"/>
      <c r="G46" s="33"/>
      <c r="H46" s="33"/>
      <c r="I46" s="34"/>
    </row>
    <row r="48" spans="1:9" ht="14.45" x14ac:dyDescent="0.3">
      <c r="A48" s="83" t="s">
        <v>44</v>
      </c>
    </row>
    <row r="49" spans="1:1" ht="14.45" x14ac:dyDescent="0.3">
      <c r="A49" s="83"/>
    </row>
    <row r="50" spans="1:1" ht="14.45" x14ac:dyDescent="0.3">
      <c r="A50" s="83" t="s">
        <v>45</v>
      </c>
    </row>
  </sheetData>
  <mergeCells count="18">
    <mergeCell ref="C24:D24"/>
    <mergeCell ref="C31:D31"/>
    <mergeCell ref="C32:D32"/>
    <mergeCell ref="C39:D39"/>
    <mergeCell ref="B29:B36"/>
    <mergeCell ref="B37:B44"/>
    <mergeCell ref="C40:D40"/>
    <mergeCell ref="B21:B28"/>
    <mergeCell ref="C23:D23"/>
    <mergeCell ref="A1:I1"/>
    <mergeCell ref="A2:I2"/>
    <mergeCell ref="B10:H10"/>
    <mergeCell ref="C11:H11"/>
    <mergeCell ref="B19:H19"/>
    <mergeCell ref="B13:H13"/>
    <mergeCell ref="C14:H14"/>
    <mergeCell ref="B16:H16"/>
    <mergeCell ref="C17:H17"/>
  </mergeCells>
  <hyperlinks>
    <hyperlink ref="A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opLeftCell="A4" zoomScale="84" zoomScaleNormal="84" workbookViewId="0">
      <selection activeCell="B4" sqref="B4"/>
    </sheetView>
  </sheetViews>
  <sheetFormatPr defaultColWidth="9.140625" defaultRowHeight="15" x14ac:dyDescent="0.25"/>
  <cols>
    <col min="1" max="1" width="9.140625" style="28"/>
    <col min="2" max="2" width="25.28515625" style="28" customWidth="1"/>
    <col min="3" max="4" width="11.140625" style="28" customWidth="1"/>
    <col min="5" max="5" width="6.28515625" style="28" customWidth="1"/>
    <col min="6" max="7" width="12.140625" style="28" customWidth="1"/>
    <col min="8" max="8" width="10.28515625" style="28" customWidth="1"/>
    <col min="9" max="9" width="13.5703125" style="28" bestFit="1" customWidth="1"/>
    <col min="10" max="10" width="5.28515625" style="28" customWidth="1"/>
    <col min="11" max="16384" width="9.140625" style="28"/>
  </cols>
  <sheetData>
    <row r="1" spans="1:9" ht="61.9" thickBot="1" x14ac:dyDescent="1.1499999999999999">
      <c r="A1" s="141" t="s">
        <v>10</v>
      </c>
      <c r="B1" s="142"/>
      <c r="C1" s="142"/>
      <c r="D1" s="142"/>
      <c r="E1" s="142"/>
      <c r="F1" s="142"/>
      <c r="G1" s="142"/>
      <c r="H1" s="142"/>
      <c r="I1" s="142"/>
    </row>
    <row r="2" spans="1:9" ht="18" x14ac:dyDescent="0.3">
      <c r="A2" s="109" t="s">
        <v>2</v>
      </c>
      <c r="B2" s="110"/>
      <c r="C2" s="110"/>
      <c r="D2" s="110"/>
      <c r="E2" s="110"/>
      <c r="F2" s="110"/>
      <c r="G2" s="110"/>
      <c r="H2" s="110"/>
      <c r="I2" s="111"/>
    </row>
    <row r="3" spans="1:9" ht="14.45" x14ac:dyDescent="0.3">
      <c r="A3" s="85" t="s">
        <v>56</v>
      </c>
      <c r="B3" s="86"/>
      <c r="C3" s="11"/>
      <c r="D3" s="11"/>
      <c r="E3" s="11"/>
      <c r="F3" s="11"/>
      <c r="G3" s="11"/>
      <c r="H3" s="11"/>
      <c r="I3" s="30"/>
    </row>
    <row r="4" spans="1:9" ht="14.45" x14ac:dyDescent="0.3">
      <c r="A4" s="85" t="s">
        <v>57</v>
      </c>
      <c r="B4" s="86"/>
      <c r="C4" s="11"/>
      <c r="D4" s="11"/>
      <c r="E4" s="11"/>
      <c r="F4" s="11"/>
      <c r="G4" s="11"/>
      <c r="H4" s="11"/>
      <c r="I4" s="30"/>
    </row>
    <row r="5" spans="1:9" ht="14.45" x14ac:dyDescent="0.3">
      <c r="A5" s="85" t="s">
        <v>43</v>
      </c>
      <c r="B5" s="86"/>
      <c r="C5" s="11"/>
      <c r="D5" s="11"/>
      <c r="E5" s="11"/>
      <c r="F5" s="11"/>
      <c r="G5" s="11"/>
      <c r="H5" s="11"/>
      <c r="I5" s="30"/>
    </row>
    <row r="6" spans="1:9" ht="14.45" x14ac:dyDescent="0.3">
      <c r="A6" s="87" t="s">
        <v>28</v>
      </c>
      <c r="B6" s="86"/>
      <c r="C6" s="11"/>
      <c r="D6" s="11"/>
      <c r="E6" s="11"/>
      <c r="F6" s="11"/>
      <c r="G6" s="11"/>
      <c r="H6" s="11"/>
      <c r="I6" s="30"/>
    </row>
    <row r="7" spans="1:9" ht="14.45" x14ac:dyDescent="0.3">
      <c r="A7" s="87" t="s">
        <v>25</v>
      </c>
      <c r="B7" s="86"/>
      <c r="C7" s="11"/>
      <c r="D7" s="11"/>
      <c r="E7" s="11"/>
      <c r="F7" s="11"/>
      <c r="G7" s="11"/>
      <c r="H7" s="11"/>
      <c r="I7" s="30"/>
    </row>
    <row r="8" spans="1:9" ht="14.45" x14ac:dyDescent="0.3">
      <c r="A8" s="85" t="s">
        <v>41</v>
      </c>
      <c r="B8" s="86"/>
      <c r="C8" s="11"/>
      <c r="D8" s="11"/>
      <c r="E8" s="11"/>
      <c r="F8" s="11"/>
      <c r="G8" s="11"/>
      <c r="H8" s="11"/>
      <c r="I8" s="30"/>
    </row>
    <row r="9" spans="1:9" thickBot="1" x14ac:dyDescent="0.35">
      <c r="A9" s="29"/>
      <c r="B9" s="20"/>
      <c r="C9" s="11"/>
      <c r="D9" s="11"/>
      <c r="E9" s="11"/>
      <c r="F9" s="11"/>
      <c r="G9" s="11"/>
      <c r="H9" s="11"/>
      <c r="I9" s="30"/>
    </row>
    <row r="10" spans="1:9" thickBot="1" x14ac:dyDescent="0.35">
      <c r="A10" s="29"/>
      <c r="B10" s="134" t="s">
        <v>12</v>
      </c>
      <c r="C10" s="113"/>
      <c r="D10" s="113"/>
      <c r="E10" s="113"/>
      <c r="F10" s="113"/>
      <c r="G10" s="113"/>
      <c r="H10" s="113"/>
      <c r="I10" s="30"/>
    </row>
    <row r="11" spans="1:9" thickBot="1" x14ac:dyDescent="0.35">
      <c r="A11" s="29"/>
      <c r="B11" s="21" t="s">
        <v>11</v>
      </c>
      <c r="C11" s="115">
        <v>1</v>
      </c>
      <c r="D11" s="116"/>
      <c r="E11" s="116"/>
      <c r="F11" s="116"/>
      <c r="G11" s="116"/>
      <c r="H11" s="116"/>
      <c r="I11" s="30"/>
    </row>
    <row r="12" spans="1:9" thickBot="1" x14ac:dyDescent="0.35">
      <c r="A12" s="29"/>
      <c r="B12" s="35"/>
      <c r="C12" s="11"/>
      <c r="D12" s="11"/>
      <c r="E12" s="11"/>
      <c r="F12" s="11"/>
      <c r="G12" s="11"/>
      <c r="H12" s="11"/>
      <c r="I12" s="30"/>
    </row>
    <row r="13" spans="1:9" thickBot="1" x14ac:dyDescent="0.35">
      <c r="A13" s="29"/>
      <c r="B13" s="134" t="s">
        <v>53</v>
      </c>
      <c r="C13" s="113"/>
      <c r="D13" s="113"/>
      <c r="E13" s="113"/>
      <c r="F13" s="113"/>
      <c r="G13" s="113"/>
      <c r="H13" s="113"/>
      <c r="I13" s="30"/>
    </row>
    <row r="14" spans="1:9" thickBot="1" x14ac:dyDescent="0.35">
      <c r="A14" s="29"/>
      <c r="B14" s="21" t="s">
        <v>49</v>
      </c>
      <c r="C14" s="115">
        <v>3</v>
      </c>
      <c r="D14" s="116"/>
      <c r="E14" s="116"/>
      <c r="F14" s="116"/>
      <c r="G14" s="116"/>
      <c r="H14" s="116"/>
      <c r="I14" s="30"/>
    </row>
    <row r="15" spans="1:9" thickBot="1" x14ac:dyDescent="0.35">
      <c r="A15" s="35"/>
      <c r="B15" s="11"/>
      <c r="C15" s="11"/>
      <c r="D15" s="11"/>
      <c r="E15" s="11"/>
      <c r="F15" s="11"/>
      <c r="G15" s="11"/>
      <c r="H15" s="35"/>
      <c r="I15" s="30"/>
    </row>
    <row r="16" spans="1:9" thickBot="1" x14ac:dyDescent="0.35">
      <c r="A16" s="35"/>
      <c r="B16" s="134" t="s">
        <v>50</v>
      </c>
      <c r="C16" s="113"/>
      <c r="D16" s="113"/>
      <c r="E16" s="113"/>
      <c r="F16" s="113"/>
      <c r="G16" s="113"/>
      <c r="H16" s="113"/>
      <c r="I16" s="30"/>
    </row>
    <row r="17" spans="1:11" thickBot="1" x14ac:dyDescent="0.35">
      <c r="A17" s="35"/>
      <c r="B17" s="21" t="s">
        <v>51</v>
      </c>
      <c r="C17" s="115">
        <v>3</v>
      </c>
      <c r="D17" s="116"/>
      <c r="E17" s="116"/>
      <c r="F17" s="116"/>
      <c r="G17" s="116"/>
      <c r="H17" s="116"/>
      <c r="I17" s="30"/>
    </row>
    <row r="18" spans="1:11" thickBot="1" x14ac:dyDescent="0.35">
      <c r="A18" s="29"/>
      <c r="B18" s="11"/>
      <c r="C18" s="11"/>
      <c r="D18" s="11"/>
      <c r="E18" s="11"/>
      <c r="F18" s="11"/>
      <c r="G18" s="11"/>
      <c r="H18" s="11"/>
      <c r="I18" s="30"/>
    </row>
    <row r="19" spans="1:11" ht="18.600000000000001" thickBot="1" x14ac:dyDescent="0.35">
      <c r="A19" s="29"/>
      <c r="B19" s="123" t="s">
        <v>58</v>
      </c>
      <c r="C19" s="124"/>
      <c r="D19" s="124"/>
      <c r="E19" s="124"/>
      <c r="F19" s="124"/>
      <c r="G19" s="124"/>
      <c r="H19" s="125"/>
      <c r="I19" s="30"/>
    </row>
    <row r="20" spans="1:11" ht="17.45" thickBot="1" x14ac:dyDescent="0.4">
      <c r="A20" s="29"/>
      <c r="B20" s="2" t="s">
        <v>0</v>
      </c>
      <c r="C20" s="58" t="s">
        <v>23</v>
      </c>
      <c r="D20" s="58" t="s">
        <v>1</v>
      </c>
      <c r="E20" s="58" t="s">
        <v>48</v>
      </c>
      <c r="F20" s="57" t="s">
        <v>22</v>
      </c>
      <c r="G20" s="59" t="s">
        <v>1</v>
      </c>
      <c r="H20" s="59" t="s">
        <v>21</v>
      </c>
      <c r="I20" s="30"/>
    </row>
    <row r="21" spans="1:11" ht="15.75" thickBot="1" x14ac:dyDescent="0.3">
      <c r="A21" s="29"/>
      <c r="B21" s="120" t="str">
        <f>IF($C$17=1,"2-Count Pause Squat",IF($C$17=2,"2-Inch Deficit Deadlift",IF($C$17=3,"Competition Squat",IF($C$17=4,"Competition Deadlift",""))))</f>
        <v>Competition Squat</v>
      </c>
      <c r="C21" s="16">
        <v>455</v>
      </c>
      <c r="D21" s="7">
        <v>2</v>
      </c>
      <c r="E21" s="7">
        <v>9</v>
      </c>
      <c r="F21" s="51">
        <f>(IF(F27&lt;&gt;"",MROUND(F27*0.3,5),""))</f>
        <v>145</v>
      </c>
      <c r="G21" s="68">
        <f>IF(F21&lt;&gt;"",5,"")</f>
        <v>5</v>
      </c>
      <c r="H21" s="77"/>
      <c r="I21" s="30"/>
      <c r="K21" s="31"/>
    </row>
    <row r="22" spans="1:11" x14ac:dyDescent="0.25">
      <c r="A22" s="29"/>
      <c r="B22" s="121"/>
      <c r="C22" s="60"/>
      <c r="D22" s="84"/>
      <c r="E22" s="91"/>
      <c r="F22" s="6">
        <f>(IF(F27&lt;&gt;"",MROUND(F27*0.5,5),""))</f>
        <v>240</v>
      </c>
      <c r="G22" s="67">
        <f>IF(F22&lt;&gt;"",5,"")</f>
        <v>5</v>
      </c>
      <c r="H22" s="77"/>
      <c r="I22" s="30"/>
      <c r="K22" s="31"/>
    </row>
    <row r="23" spans="1:11" x14ac:dyDescent="0.25">
      <c r="A23" s="29"/>
      <c r="B23" s="121"/>
      <c r="C23" s="145" t="s">
        <v>54</v>
      </c>
      <c r="D23" s="143"/>
      <c r="E23" s="92">
        <f xml:space="preserve">
IF(AND(D21=1,E21=10),MROUND((C21/1)*1.005,0.5),
IF(AND(D21=1,E21=9.5),MROUND((C21/0.98)*1.005,0.5),
IF(AND(D21=1,E21=9),MROUND((C21/0.96)*1.005,0.5),
IF(AND(D21=1,E21=8.5),MROUND((C21/0.94)*1.005,0.5),
IF(AND(D21=1,E21=8),MROUND((C21/0.92)*1.005,0.5),
IF(AND(D21=1,E21=7.5),MROUND((C21/0.91)*1.005,0.5),
IF(AND(D21=1,E21=7),MROUND((C21/0.89)*1.005,0.5),
IF(AND(D21=1,E21=6.5),MROUND((C21/0.88)*1.005,0.5),
IF(AND(D21=2,E21=10),MROUND((C21/0.96)*1.005,0.5),
IF(AND(D21=2,E21=9.5),MROUND((C21/0.94)*1.005,0.5),
IF(AND(D21=2,E21=9),MROUND((C21/0.92)*1.005,0.5),
IF(AND(D21=2,E21=8.5),MROUND((C21/0.91)*1.005,0.5),
IF(AND(D21=2,E21=8),MROUND((C21/0.89)*1.005,0.5),
IF(AND(D21=2,E21=7.5),MROUND((C21/0.88)*1.005,0.5),
IF(AND(D21=2,E21=7),MROUND((C21/0.86)*1.005,0.5),
IF(AND(D21=2,E21=6.5),MROUND((C21/0.85)*1.005,0.5),
IF(AND(D21=3,E21=10),MROUND((C21/0.92)*1.005,0.5),
IF(AND(D21=3,E21=9.5),MROUND((C21/0.91)*1.005,0.5),
IF(AND(D21=3,E21=9),MROUND((C21/0.89)*1.005,0.5),
IF(AND(D21=3,E21=8.5),MROUND((C21/0.88)*1.005,0.5),
IF(AND(D21=3,E21=8),MROUND((C21/0.86)*1.005,0.5),
IF(AND(D21=3,E21=7.5),MROUND((C21/0.85)*1.005,0.5),
IF(AND(D21=3,E21=7),MROUND((C21/0.84)*1.005,0.5),
IF(AND(D21=3,E21=6.5),MROUND((C21/0.82)*1.005,0.5),
IF(AND(D21=4,E21=10),MROUND((C21/0.89)*1.005,0.5),
IF(AND(D21=4,E21=9.5),MROUND((C21/0.88)*1.005,0.5),
IF(AND(D21=4,E21=9),MROUND((C21/0.86)*1.005,0.5),
IF(AND(D21=4,E21=8.5),MROUND((C21/0.85)*1.005,0.5),
IF(AND(D21=4,E21=8),MROUND((C21/0.84)*1.005,0.5),
IF(AND(D21=4,E21=7.5),MROUND((C21/0.82)*1.005,0.5),
IF(AND(D21=4,E21=7),MROUND((C21/0.81)*1.005,0.5),
IF(AND(D21=4,E21=6.5),MROUND((C21/0.8)*1.005,0.5),
IF(AND(D21=5,E21=10),MROUND((C21/0.86)*1.005,0.5),
IF(AND(D21=5,E21=9.5),MROUND((C21/0.85)*1.005,0.5),
IF(AND(D21=5,E21=9),MROUND((C21/0.84)*1.005,0.5),
IF(AND(D21=5,E21=8.5),MROUND((C21/0.82)*1.005,0.5),
IF(AND(D21=5,E21=8),MROUND((C21/0.81)*1.005,0.5),
IF(AND(D21=5,E21=7.5),MROUND((C21/0.8)*1.005,0.5),
IF(AND(D21=5,E21=7),MROUND((C21/0.79)*1.005,0.5),
IF(AND(D21=5,E21=6.5),MROUND((C21/0.77)*1.005,0.5),
IF(AND(D21=6,E21=10),MROUND((C21/0.84)*1.005,0.5),
IF(AND(D21=6,E21=9.5),MROUND((C21/0.82)*1.005,0.5),
IF(AND(D21=6,E21=9),MROUND((C21/0.81)*1.005,0.5),
IF(AND(D21=6,E21=8.5),MROUND((C21/0.8)*1.005,0.5),
IF(AND(D21=6,E21=8),MROUND((C21/0.79)*1.005,0.5),
IF(AND(D21=6,E21=7.5),MROUND((C21/0.77)*1.005,0.5),
IF(AND(D21=6,E21=7),MROUND((C21/0.76)*1.005,0.5),
IF(AND(D21=6,E21=6.5),MROUND((C21/0.75)*1.005,0.5),
IF(AND(D21=7,E21=10),MROUND((C21/0.81)*1.005,0.5),
IF(AND(D21=7,E21=9.5),MROUND((C21/0.8)*1.005,0.5),
IF(AND(D21=7,E21=9),MROUND((C21/0.79)*1.005,0.5),
IF(AND(D21=7,E21=8.5),MROUND((C21/0.77)*1.005,0.5),
IF(AND(D21=7,E21=8),MROUND((C21/0.76)*1.005,0.5),
IF(AND(D21=7,E21=7.5),MROUND((C21/0.75)*1.005,0.5),
IF(AND(D21=7,E21=7),MROUND((C21/0.74)*1.005,0.5),
IF(AND(D21=7,E21=6.5),MROUND((C21/0.72)*1.005,0.5),
IF(AND(D21=8,E21=10),MROUND((C21/0.79)*1.005,0.5),
IF(AND(D21=8,E21=9.5),MROUND((C21/0.77)*1.005,0.5),
IF(AND(D21=8,E21=9),MROUND((C21/0.76)*1.005,0.5),
IF(AND(D21=8,E21=8.5),MROUND((C21/0.75)*1.005,0.5),
IF(AND(D21=8,E21=8),MROUND((C21/0.74)*1.005,0.5),
IF(AND(D21=8,E21=7.5),MROUND((C21/0.72)*1.005,0.5),
IF(AND(D21=8,E21=7),MROUND((C21/0.71)*1.005,0.5),
IF(AND(D21=8,E21=6.5),MROUND((C21/0.69)*1.005,0.5),""
))))))))))))))))))))))))))))))))))))))))))))))))))))))))))))))))</f>
        <v>497</v>
      </c>
      <c r="F23" s="6">
        <f>(IF(F27&lt;&gt;"",MROUND(F27*0.7,5),""))</f>
        <v>335</v>
      </c>
      <c r="G23" s="67">
        <f>IF(F23&lt;&gt;"",3,"")</f>
        <v>3</v>
      </c>
      <c r="H23" s="49"/>
      <c r="I23" s="30"/>
      <c r="K23" s="31"/>
    </row>
    <row r="24" spans="1:11" x14ac:dyDescent="0.25">
      <c r="A24" s="29"/>
      <c r="B24" s="121"/>
      <c r="C24" s="143" t="s">
        <v>55</v>
      </c>
      <c r="D24" s="144"/>
      <c r="E24" s="92">
        <f>IF(E23&lt;&gt;"",MROUND((F27)/IF(G27=6,0.81,IF(G27=5,0.84,IF(G27=4,0.86,IF(G27=3,0.89,IF(G27=2,0.92,IF(G27=1,0.96,"")))))),0.5),"")</f>
        <v>499.5</v>
      </c>
      <c r="F24" s="6">
        <f>(IF(F27&lt;&gt;"",MROUND(F27*0.8,5),""))</f>
        <v>385</v>
      </c>
      <c r="G24" s="67">
        <f>IF(F24&lt;&gt;"",1,"")</f>
        <v>1</v>
      </c>
      <c r="H24" s="49"/>
      <c r="I24" s="30"/>
      <c r="K24" s="31"/>
    </row>
    <row r="25" spans="1:11" x14ac:dyDescent="0.25">
      <c r="A25" s="29"/>
      <c r="B25" s="121"/>
      <c r="C25" s="23"/>
      <c r="D25" s="48"/>
      <c r="E25" s="9"/>
      <c r="F25" s="6">
        <f>(IF(F27&lt;&gt;"",MROUND(F27*0.9,5),""))</f>
        <v>430</v>
      </c>
      <c r="G25" s="6">
        <f>IF(G27&lt;&gt;"",G27,"")</f>
        <v>1</v>
      </c>
      <c r="H25" s="49"/>
      <c r="I25" s="30"/>
      <c r="K25" s="31"/>
    </row>
    <row r="26" spans="1:11" x14ac:dyDescent="0.25">
      <c r="A26" s="29"/>
      <c r="B26" s="121"/>
      <c r="C26" s="14"/>
      <c r="D26" s="75"/>
      <c r="E26" s="22"/>
      <c r="F26" s="6">
        <f>(IF(F27&lt;&gt;"",MROUND(F27*0.95,5),""))</f>
        <v>455</v>
      </c>
      <c r="G26" s="6">
        <f>IF(G27&lt;&gt;"",G27,"")</f>
        <v>1</v>
      </c>
      <c r="H26" s="82" t="str">
        <f>IF(F27&lt;&gt;"","Load Drop","")</f>
        <v>Load Drop</v>
      </c>
      <c r="I26" s="30"/>
      <c r="K26" s="31"/>
    </row>
    <row r="27" spans="1:11" x14ac:dyDescent="0.25">
      <c r="A27" s="29"/>
      <c r="B27" s="121"/>
      <c r="C27" s="40"/>
      <c r="D27" s="40"/>
      <c r="E27" s="64"/>
      <c r="F27" s="6">
        <f>IF(E23&lt;&gt;"",MROUND((E23*1.005)*IF(G27=6,0.81,IF(G27=5,0.84,IF(G27=4,0.86,IF(G27=3,0.89,IF(G27=2,0.92,IF(G27=1,0.96,"")))))),0.5),"")</f>
        <v>479.5</v>
      </c>
      <c r="G27" s="6">
        <f>IF(E23&lt;&gt;"",
IF(AND(C$14=1,OR(C$17=1,C$17=2)),6,
IF(AND(C$14=2,OR(C$17=1,C$17=2)),5,
IF(AND(C$14=3,OR(C$17=1,C$17=2)),4,
IF(AND(C$14=1,OR(C$17=3,C$17=4)),3,
IF(AND(C$14=2,OR(C$17=3,C$17=4)),2,
IF(AND(C$14=3,OR(C$17=3,C$17=4)),1,"")))))),"")</f>
        <v>1</v>
      </c>
      <c r="H27" s="82" t="str">
        <f>IF(F28&lt;&gt;"","RPE 9","")</f>
        <v>RPE 9</v>
      </c>
      <c r="I27" s="30"/>
      <c r="K27" s="88"/>
    </row>
    <row r="28" spans="1:11" ht="15.75" thickBot="1" x14ac:dyDescent="0.3">
      <c r="A28" s="29"/>
      <c r="B28" s="122"/>
      <c r="C28" s="47"/>
      <c r="D28" s="47"/>
      <c r="E28" s="50"/>
      <c r="F28" s="73">
        <f>IF(F27&lt;&gt;"",IF(H28="2-3%",MROUND(F27*0.975,0.5),IF(H28="4-6%",MROUND(F27*0.95,0.5),IF(H28="6-9%",MROUND(F27*0.925,0.5),""))),"")</f>
        <v>467.5</v>
      </c>
      <c r="G28" s="73">
        <f>IF(G27&lt;&gt;"",G27,"")</f>
        <v>1</v>
      </c>
      <c r="H28" s="79" t="str">
        <f>IF(E23&lt;&gt;"",
IF($C$14=1,"6-9%",
IF(AND($C$14=2,OR($C$17=1,$C$17=2)),"4-6%",
IF(AND($C$14=2,OR($C$17=3,$C$17=4)),"2-3%",IF(AND($C$14=3,OR($C$17=1,$C$17=2)),"6-9%",IF(AND($C$14=3,OR($C$17=3,$C$17=4)),"2-3%",""))))
),"")</f>
        <v>2-3%</v>
      </c>
      <c r="I28" s="30"/>
      <c r="K28" s="31"/>
    </row>
    <row r="29" spans="1:11" ht="15.75" thickBot="1" x14ac:dyDescent="0.3">
      <c r="A29" s="29"/>
      <c r="B29" s="93" t="str">
        <f>IF($C$17=1,"2-Count Pause Bench",IF($C$17=2,"Closegrip Bench",IF($C$17=3,"Competition Bench",IF($C$17=4,"Touch and Go Bench",""))))</f>
        <v>Competition Bench</v>
      </c>
      <c r="C29" s="7">
        <v>315</v>
      </c>
      <c r="D29" s="7">
        <v>2</v>
      </c>
      <c r="E29" s="7">
        <v>9</v>
      </c>
      <c r="F29" s="51">
        <f>(IF(F35&lt;&gt;"",MROUND(F35*0.3,5),""))</f>
        <v>100</v>
      </c>
      <c r="G29" s="68">
        <f>IF(F29&lt;&gt;"",5,"")</f>
        <v>5</v>
      </c>
      <c r="H29" s="77"/>
      <c r="I29" s="30"/>
      <c r="K29" s="89"/>
    </row>
    <row r="30" spans="1:11" ht="15.75" thickBot="1" x14ac:dyDescent="0.3">
      <c r="A30" s="29"/>
      <c r="B30" s="94"/>
      <c r="C30" s="66"/>
      <c r="D30" s="84"/>
      <c r="E30" s="62"/>
      <c r="F30" s="6">
        <f>(IF(F35&lt;&gt;"",MROUND(F35*0.5,5),""))</f>
        <v>165</v>
      </c>
      <c r="G30" s="67">
        <f>IF(F30&lt;&gt;"",5,"")</f>
        <v>5</v>
      </c>
      <c r="H30" s="77"/>
      <c r="I30" s="30"/>
    </row>
    <row r="31" spans="1:11" x14ac:dyDescent="0.25">
      <c r="A31" s="29"/>
      <c r="B31" s="94"/>
      <c r="C31" s="145" t="s">
        <v>54</v>
      </c>
      <c r="D31" s="143"/>
      <c r="E31" s="92">
        <f xml:space="preserve">
IF(AND(D29=1,E29=10),MROUND((C29/1)*1.005,0.5),
IF(AND(D29=1,E29=9.5),MROUND((C29/0.98)*1.005,0.5),
IF(AND(D29=1,E29=9),MROUND((C29/0.96)*1.005,0.5),
IF(AND(D29=1,E29=8.5),MROUND((C29/0.94)*1.005,0.5),
IF(AND(D29=1,E29=8),MROUND((C29/0.92)*1.005,0.5),
IF(AND(D29=1,E29=7.5),MROUND((C29/0.91)*1.005,0.5),
IF(AND(D29=1,E29=7),MROUND((C29/0.89)*1.005,0.5),
IF(AND(D29=1,E29=6.5),MROUND((C29/0.88)*1.005,0.5),
IF(AND(D29=2,E29=10),MROUND((C29/0.96)*1.005,0.5),
IF(AND(D29=2,E29=9.5),MROUND((C29/0.94)*1.005,0.5),
IF(AND(D29=2,E29=9),MROUND((C29/0.92)*1.005,0.5),
IF(AND(D29=2,E29=8.5),MROUND((C29/0.91)*1.005,0.5),
IF(AND(D29=2,E29=8),MROUND((C29/0.89)*1.005,0.5),
IF(AND(D29=2,E29=7.5),MROUND((C29/0.88)*1.005,0.5),
IF(AND(D29=2,E29=7),MROUND((C29/0.86)*1.005,0.5),
IF(AND(D29=2,E29=6.5),MROUND((C29/0.85)*1.005,0.5),
IF(AND(D29=3,E29=10),MROUND((C29/0.92)*1.005,0.5),
IF(AND(D29=3,E29=9.5),MROUND((C29/0.91)*1.005,0.5),
IF(AND(D29=3,E29=9),MROUND((C29/0.89)*1.005,0.5),
IF(AND(D29=3,E29=8.5),MROUND((C29/0.88)*1.005,0.5),
IF(AND(D29=3,E29=8),MROUND((C29/0.86)*1.005,0.5),
IF(AND(D29=3,E29=7.5),MROUND((C29/0.85)*1.005,0.5),
IF(AND(D29=3,E29=7),MROUND((C29/0.84)*1.005,0.5),
IF(AND(D29=3,E29=6.5),MROUND((C29/0.82)*1.005,0.5),
IF(AND(D29=4,E29=10),MROUND((C29/0.89)*1.005,0.5),
IF(AND(D29=4,E29=9.5),MROUND((C29/0.88)*1.005,0.5),
IF(AND(D29=4,E29=9),MROUND((C29/0.86)*1.005,0.5),
IF(AND(D29=4,E29=8.5),MROUND((C29/0.85)*1.005,0.5),
IF(AND(D29=4,E29=8),MROUND((C29/0.84)*1.005,0.5),
IF(AND(D29=4,E29=7.5),MROUND((C29/0.82)*1.005,0.5),
IF(AND(D29=4,E29=7),MROUND((C29/0.81)*1.005,0.5),
IF(AND(D29=4,E29=6.5),MROUND((C29/0.8)*1.005,0.5),
IF(AND(D29=5,E29=10),MROUND((C29/0.86)*1.005,0.5),
IF(AND(D29=5,E29=9.5),MROUND((C29/0.85)*1.005,0.5),
IF(AND(D29=5,E29=9),MROUND((C29/0.84)*1.005,0.5),
IF(AND(D29=5,E29=8.5),MROUND((C29/0.82)*1.005,0.5),
IF(AND(D29=5,E29=8),MROUND((C29/0.81)*1.005,0.5),
IF(AND(D29=5,E29=7.5),MROUND((C29/0.8)*1.005,0.5),
IF(AND(D29=5,E29=7),MROUND((C29/0.79)*1.005,0.5),
IF(AND(D29=5,E29=6.5),MROUND((C29/0.77)*1.005,0.5),
IF(AND(D29=6,E29=10),MROUND((C29/0.84)*1.005,0.5),
IF(AND(D29=6,E29=9.5),MROUND((C29/0.82)*1.005,0.5),
IF(AND(D29=6,E29=9),MROUND((C29/0.81)*1.005,0.5),
IF(AND(D29=6,E29=8.5),MROUND((C29/0.8)*1.005,0.5),
IF(AND(D29=6,E29=8),MROUND((C29/0.79)*1.005,0.5),
IF(AND(D29=6,E29=7.5),MROUND((C29/0.77)*1.005,0.5),
IF(AND(D29=6,E29=7),MROUND((C29/0.76)*1.005,0.5),
IF(AND(D29=6,E29=6.5),MROUND((C29/0.75)*1.005,0.5),
IF(AND(D29=7,E29=10),MROUND((C29/0.81)*1.005,0.5),
IF(AND(D29=7,E29=9.5),MROUND((C29/0.8)*1.005,0.5),
IF(AND(D29=7,E29=9),MROUND((C29/0.79)*1.005,0.5),
IF(AND(D29=7,E29=8.5),MROUND((C29/0.77)*1.005,0.5),
IF(AND(D29=7,E29=8),MROUND((C29/0.76)*1.005,0.5),
IF(AND(D29=7,E29=7.5),MROUND((C29/0.75)*1.005,0.5),
IF(AND(D29=7,E29=7),MROUND((C29/0.74)*1.005,0.5),
IF(AND(D29=7,E29=6.5),MROUND((C29/0.72)*1.005,0.5),
IF(AND(D29=8,E29=10),MROUND((C29/0.79)*1.005,0.5),
IF(AND(D29=8,E29=9.5),MROUND((C29/0.77)*1.005,0.5),
IF(AND(D29=8,E29=9),MROUND((C29/0.76)*1.005,0.5),
IF(AND(D29=8,E29=8.5),MROUND((C29/0.75)*1.005,0.5),
IF(AND(D29=8,E29=8),MROUND((C29/0.74)*1.005,0.5),
IF(AND(D29=8,E29=7.5),MROUND((C29/0.72)*1.005,0.5),
IF(AND(D29=8,E29=7),MROUND((C29/0.71)*1.005,0.5),
IF(AND(D29=8,E29=6.5),MROUND((C29/0.69)*1.005,0.5),""
))))))))))))))))))))))))))))))))))))))))))))))))))))))))))))))))</f>
        <v>344</v>
      </c>
      <c r="F31" s="6">
        <f>(IF(F35&lt;&gt;"",MROUND(F35*0.7,5),""))</f>
        <v>230</v>
      </c>
      <c r="G31" s="67">
        <f>IF(F31&lt;&gt;"",3,"")</f>
        <v>3</v>
      </c>
      <c r="H31" s="49"/>
      <c r="I31" s="30"/>
    </row>
    <row r="32" spans="1:11" x14ac:dyDescent="0.25">
      <c r="A32" s="29"/>
      <c r="B32" s="94"/>
      <c r="C32" s="143" t="s">
        <v>55</v>
      </c>
      <c r="D32" s="144"/>
      <c r="E32" s="92">
        <f>IF(E31&lt;&gt;"",MROUND((F35)/IF(G35=6,0.81,IF(G35=5,0.84,IF(G35=4,0.86,IF(G35=3,0.89,IF(G35=2,0.92,IF(G35=1,0.96,"")))))),0.5),"")</f>
        <v>346</v>
      </c>
      <c r="F32" s="6">
        <f>(IF(F35&lt;&gt;"",MROUND(F35*0.8,5),""))</f>
        <v>265</v>
      </c>
      <c r="G32" s="67">
        <f>IF(F32&lt;&gt;"",1,"")</f>
        <v>1</v>
      </c>
      <c r="H32" s="49"/>
      <c r="I32" s="30"/>
    </row>
    <row r="33" spans="1:9" x14ac:dyDescent="0.25">
      <c r="A33" s="29"/>
      <c r="B33" s="94"/>
      <c r="C33" s="5"/>
      <c r="D33" s="75"/>
      <c r="E33" s="22"/>
      <c r="F33" s="6">
        <f>(IF(F35&lt;&gt;"",MROUND(F35*0.9,5),""))</f>
        <v>300</v>
      </c>
      <c r="G33" s="6">
        <f>IF(G35&lt;&gt;"",G35,"")</f>
        <v>1</v>
      </c>
      <c r="H33" s="49"/>
      <c r="I33" s="30"/>
    </row>
    <row r="34" spans="1:9" x14ac:dyDescent="0.25">
      <c r="A34" s="29"/>
      <c r="B34" s="94"/>
      <c r="C34" s="5"/>
      <c r="D34" s="75"/>
      <c r="E34" s="22"/>
      <c r="F34" s="6">
        <f>(IF(F35&lt;&gt;"",MROUND(F35*0.95,5),""))</f>
        <v>315</v>
      </c>
      <c r="G34" s="6">
        <f>IF(G35&lt;&gt;"",G35,"")</f>
        <v>1</v>
      </c>
      <c r="H34" s="82" t="str">
        <f>IF(F35&lt;&gt;"","Load Drop","")</f>
        <v>Load Drop</v>
      </c>
      <c r="I34" s="30"/>
    </row>
    <row r="35" spans="1:9" x14ac:dyDescent="0.25">
      <c r="A35" s="29"/>
      <c r="B35" s="94"/>
      <c r="C35" s="63"/>
      <c r="D35" s="40"/>
      <c r="E35" s="64"/>
      <c r="F35" s="6">
        <f>IF(E31&lt;&gt;"",MROUND((E31*1.005)*IF(G35=6,0.81,IF(G35=5,0.84,IF(G35=4,0.86,IF(G35=3,0.89,IF(G35=2,0.92,IF(G35=1,0.96,"")))))),0.5),"")</f>
        <v>332</v>
      </c>
      <c r="G35" s="6">
        <f>IF(E31&lt;&gt;"",
IF(AND(C$14=1,OR(C$17=1,C$17=2)),6,
IF(AND(C$14=2,OR(C$17=1,C$17=2)),5,
IF(AND(C$14=3,OR(C$17=1,C$17=2)),4,
IF(AND(C$14=1,OR(C$17=3,C$17=4)),3,
IF(AND(C$14=2,OR(C$17=3,C$17=4)),2,
IF(AND(C$14=3,OR(C$17=3,C$17=4)),1,"")))))),"")</f>
        <v>1</v>
      </c>
      <c r="H35" s="82" t="str">
        <f>IF(F36&lt;&gt;"","RPE 9","")</f>
        <v>RPE 9</v>
      </c>
      <c r="I35" s="30"/>
    </row>
    <row r="36" spans="1:9" ht="15.75" thickBot="1" x14ac:dyDescent="0.3">
      <c r="A36" s="29"/>
      <c r="B36" s="95"/>
      <c r="C36" s="65"/>
      <c r="D36" s="47"/>
      <c r="E36" s="50"/>
      <c r="F36" s="73">
        <f>IF(F35&lt;&gt;"",IF(H36="2-3%",MROUND(F35*0.975,0.5),IF(H36="4-6%",MROUND(F35*0.95,0.5),IF(H36="6-9%",MROUND(F35*0.925,0.5),""))),"")</f>
        <v>323.5</v>
      </c>
      <c r="G36" s="73">
        <f>IF(G35&lt;&gt;"",G35,"")</f>
        <v>1</v>
      </c>
      <c r="H36" s="79" t="str">
        <f>IF(E31&lt;&gt;"",
IF($C$14=1,"6-9%",
IF(AND($C$14=2,OR($C$17=1,$C$17=2)),"4-6%",
IF(AND($C$14=2,OR($C$17=3,$C$17=4)),"2-3%",IF(AND($C$14=3,OR($C$17=1,$C$17=2)),"6-9%",IF(AND($C$14=3,OR($C$17=3,$C$17=4)),"2-3%",""))))
),"")</f>
        <v>2-3%</v>
      </c>
      <c r="I36" s="30"/>
    </row>
    <row r="37" spans="1:9" ht="15.75" thickBot="1" x14ac:dyDescent="0.3">
      <c r="A37" s="29"/>
      <c r="B37" s="93" t="str">
        <f>IF($C$14=2,"No Third Exercise Today",IF($C$17=1,"Incline Bench",IF($C$17=2,"Front Squat",IF($C$17=3,"Overhead Press",IF($C$17=4,"2-Inch Deficit Stiff-Legged Deadlift","")))))</f>
        <v>Overhead Press</v>
      </c>
      <c r="C37" s="7">
        <v>155</v>
      </c>
      <c r="D37" s="7">
        <v>8</v>
      </c>
      <c r="E37" s="7">
        <v>8</v>
      </c>
      <c r="F37" s="51">
        <f>(IF(F43&lt;&gt;"",MROUND(F43*0.3,5),""))</f>
        <v>50</v>
      </c>
      <c r="G37" s="68">
        <f>IF(F37&lt;&gt;"",5,"")</f>
        <v>5</v>
      </c>
      <c r="H37" s="77"/>
      <c r="I37" s="30"/>
    </row>
    <row r="38" spans="1:9" ht="15.75" thickBot="1" x14ac:dyDescent="0.3">
      <c r="A38" s="29"/>
      <c r="B38" s="94"/>
      <c r="C38" s="66"/>
      <c r="D38" s="84"/>
      <c r="E38" s="62"/>
      <c r="F38" s="6">
        <f>(IF(F43&lt;&gt;"",MROUND(F43*0.5,5),""))</f>
        <v>85</v>
      </c>
      <c r="G38" s="67">
        <f>IF(F38&lt;&gt;"",5,"")</f>
        <v>5</v>
      </c>
      <c r="H38" s="77"/>
      <c r="I38" s="30"/>
    </row>
    <row r="39" spans="1:9" x14ac:dyDescent="0.25">
      <c r="A39" s="29"/>
      <c r="B39" s="94"/>
      <c r="C39" s="145" t="s">
        <v>54</v>
      </c>
      <c r="D39" s="143"/>
      <c r="E39" s="92">
        <f xml:space="preserve">
IF(AND(D37=3,E37=10),MROUND((C37/0.92),0.5),
IF(AND(D37=3,E37=9.5),MROUND((C37/0.91),0.5),
IF(AND(D37=3,E37=9),MROUND((C37/0.89),0.5),
IF(AND(D37=3,E37=8.5),MROUND((C37/0.88),0.5),
IF(AND(D37=3,E37=8),MROUND((C37/0.86),0.5),
IF(AND(D37=3,E37=7.5),MROUND((C37/0.85),0.5),
IF(AND(D37=3,E37=7),MROUND((C37/0.84),0.5),
IF(AND(D37=3,E37=6.5),MROUND((C37/0.82),0.5),
IF(AND(D37=4,E37=10),MROUND((C37/0.89),0.5),
IF(AND(D37=4,E37=9.5),MROUND((C37/0.88),0.5),
IF(AND(D37=4,E37=9),MROUND((C37/0.86),0.5),
IF(AND(D37=4,E37=8.5),MROUND((C37/0.85),0.5),
IF(AND(D37=4,E37=8),MROUND((C37/0.84),0.5),
IF(AND(D37=4,E37=7.5),MROUND((C37/0.82),0.5),
IF(AND(D37=4,E37=7),MROUND((C37/0.81),0.5),
IF(AND(D37=4,E37=6.5),MROUND((C37/0.8),0.5),
IF(AND(D37=5,E37=10),MROUND((C37/0.86),0.5),
IF(AND(D37=5,E37=9.5),MROUND((C37/0.85),0.5),
IF(AND(D37=5,E37=9),MROUND((C37/0.84),0.5),
IF(AND(D37=5,E37=8.5),MROUND((C37/0.82),0.5),
IF(AND(D37=5,E37=8),MROUND((C37/0.81),0.5),
IF(AND(D37=5,E37=7.5),MROUND((C37/0.8),0.5),
IF(AND(D37=5,E37=7),MROUND((C37/0.79),0.5),
IF(AND(D37=5,E37=6.5),MROUND((C37/0.77),0.5),
IF(AND(D37=6,E37=10),MROUND((C37/0.84),0.5),
IF(AND(D37=6,E37=9.5),MROUND((C37/0.82),0.5),
IF(AND(D37=6,E37=9),MROUND((C37/0.81),0.5),
IF(AND(D37=6,E37=8.5),MROUND((C37/0.8),0.5),
IF(AND(D37=6,E37=8),MROUND((C37/0.79),0.5),
IF(AND(D37=6,E37=7.5),MROUND((C37/0.77),0.5),
IF(AND(D37=6,E37=7),MROUND((C37/0.76),0.5),
IF(AND(D37=6,E37=6.5),MROUND((C37/0.75),0.5),
IF(AND(D37=7,E37=10),MROUND((C37/0.81),0.5),
IF(AND(D37=7,E37=9.5),MROUND((C37/0.8),0.5),
IF(AND(D37=7,E37=9),MROUND((C37/0.79),0.5),
IF(AND(D37=7,E37=8.5),MROUND((C37/0.77),0.5),
IF(AND(D37=7,E37=8),MROUND((C37/0.76),0.5),
IF(AND(D37=7,E37=7.5),MROUND((C37/0.75),0.5),
IF(AND(D37=7,E37=7),MROUND((C37/0.74),0.5),
IF(AND(D37=7,E37=6.5),MROUND((C37/0.72),0.5),
IF(AND(D37=8,E37=10),MROUND((C37/0.79),0.5),
IF(AND(D37=8,E37=9.5),MROUND((C37/0.77),0.5),
IF(AND(D37=8,E37=9),MROUND((C37/0.76),0.5),
IF(AND(D37=8,E37=8.5),MROUND((C37/0.75),0.5),
IF(AND(D37=8,E37=8),MROUND((C37/0.74),0.5),
IF(AND(D37=8,E37=7.5),MROUND((C37/0.72),0.5),
IF(AND(D37=8,E37=7),MROUND((C37/0.71),0.5),
IF(AND(D37=8,E37=6.5),MROUND((C37/0.69),0.5),
IF(AND(D37=9,E37=10),MROUND((C37/0.76),0.5),
IF(AND(D37=9,E37=9.5),MROUND((C37/0.75),0.5),
IF(AND(D37=9,E37=9),MROUND((C37/0.74),0.5),
IF(AND(D37=9,E37=8.5),MROUND((C37/0.72),0.5),
IF(AND(D37=9,E37=8),MROUND((C37/0.71),0.5),
IF(AND(D37=9,E37=7.5),MROUND((C37/0.69),0.5),
IF(AND(D37=9,E37=7),MROUND((C37/0.68),0.5),
IF(AND(D37=9,E37=6.5),MROUND((C37/0.67),0.5),
IF(AND(D37=10,E37=10),MROUND((C37/0.74),0.5),
IF(AND(D37=10,E37=9.5),MROUND((C37/0.72),0.5),
IF(AND(D37=10,E37=9),MROUND((C37/0.71),0.5),
IF(AND(D37=10,E37=8.5),MROUND((C37/0.69),0.5),
IF(AND(D37=10,E37=8),MROUND((C37/0.68),0.5),
IF(AND(D37=10,E37=7.5),MROUND((C37/0.67),0.5),
IF(AND(D37=10,E37=7),MROUND((C37/0.65),0.5),
IF(AND(D37=10,E37=6.5),MROUND((C37/0.64),0.5),""
))))))))))))))))))))))))))))))))))))))))))))))))))))))))))))))))</f>
        <v>209.5</v>
      </c>
      <c r="F39" s="6">
        <f>(IF(F43&lt;&gt;"",MROUND(F43*0.7,5),""))</f>
        <v>115</v>
      </c>
      <c r="G39" s="67">
        <f>IF(F39&lt;&gt;"",3,"")</f>
        <v>3</v>
      </c>
      <c r="H39" s="49"/>
      <c r="I39" s="30"/>
    </row>
    <row r="40" spans="1:9" x14ac:dyDescent="0.25">
      <c r="A40" s="29"/>
      <c r="B40" s="94"/>
      <c r="C40" s="143" t="s">
        <v>55</v>
      </c>
      <c r="D40" s="144"/>
      <c r="E40" s="92">
        <f>IF(E39&lt;&gt;"",MROUND(F43/IF(G43=6,0.79,IF(G43=7,0.76,IF(G43=8,0.74,""))),0.5),"")</f>
        <v>211</v>
      </c>
      <c r="F40" s="6">
        <f>(IF(F43&lt;&gt;"",MROUND(F43*0.8,5),""))</f>
        <v>135</v>
      </c>
      <c r="G40" s="67">
        <f>IF(F40&lt;&gt;"",1,"")</f>
        <v>1</v>
      </c>
      <c r="H40" s="49"/>
      <c r="I40" s="30"/>
    </row>
    <row r="41" spans="1:9" x14ac:dyDescent="0.25">
      <c r="A41" s="29"/>
      <c r="B41" s="94"/>
      <c r="C41" s="5"/>
      <c r="D41" s="75"/>
      <c r="E41" s="22"/>
      <c r="F41" s="6">
        <f>(IF(F43&lt;&gt;"",MROUND(F43*0.9,5),""))</f>
        <v>150</v>
      </c>
      <c r="G41" s="6">
        <f>IF(G43&lt;&gt;"",G43,"")</f>
        <v>6</v>
      </c>
      <c r="H41" s="49"/>
      <c r="I41" s="30"/>
    </row>
    <row r="42" spans="1:9" x14ac:dyDescent="0.25">
      <c r="A42" s="29"/>
      <c r="B42" s="94"/>
      <c r="C42" s="5"/>
      <c r="D42" s="75"/>
      <c r="E42" s="22"/>
      <c r="F42" s="6">
        <f>(IF(F43&lt;&gt;"",MROUND(F43*0.95,5),""))</f>
        <v>160</v>
      </c>
      <c r="G42" s="6">
        <f>IF(G43&lt;&gt;"",G43,"")</f>
        <v>6</v>
      </c>
      <c r="H42" s="82" t="str">
        <f>IF(F43&lt;&gt;"","Repeat","")</f>
        <v>Repeat</v>
      </c>
      <c r="I42" s="30"/>
    </row>
    <row r="43" spans="1:9" x14ac:dyDescent="0.25">
      <c r="A43" s="29"/>
      <c r="B43" s="94"/>
      <c r="C43" s="63"/>
      <c r="D43" s="40"/>
      <c r="E43" s="64"/>
      <c r="F43" s="90">
        <f>IF(E39&lt;&gt;"",MROUND((E39*1.005)*IF(G43=8,0.74,IF(G43=7,0.76,IF(G43=6,0.79,""))),0.5),"")</f>
        <v>166.5</v>
      </c>
      <c r="G43" s="6">
        <f>IF(E39&lt;&gt;"",
IF(AND(C$14=1,OR(C$17=1,C$17=2)),8,
IF(AND(C$14=2,OR(C$17=1,C$17=2)),7,
IF(AND(C$14=3,OR(C$17=1,C$17=2)),6,
IF(AND(C$14=1,OR(C$17=3,C$17=4)),8,
IF(AND(C$14=2,OR(C$17=3,C$17=4)),7,
IF(AND(C$14=3,OR(C$17=3,C$17=4)),6,"")))))),"")</f>
        <v>6</v>
      </c>
      <c r="H43" s="82" t="str">
        <f>IF(F44&lt;&gt;"","RPE 8","")</f>
        <v>RPE 8</v>
      </c>
      <c r="I43" s="30"/>
    </row>
    <row r="44" spans="1:9" ht="15.75" thickBot="1" x14ac:dyDescent="0.3">
      <c r="A44" s="29"/>
      <c r="B44" s="95"/>
      <c r="C44" s="65"/>
      <c r="D44" s="47"/>
      <c r="E44" s="50"/>
      <c r="F44" s="73">
        <f>IF(F43&lt;&gt;"",IF(H44="2-3%",MROUND(F43*0.975,0.5),IF(H44="4-6%",MROUND(F43*0.95,0.5),IF(H44="6-9%",MROUND(F43*0.925,0.5),""))),"")</f>
        <v>158</v>
      </c>
      <c r="G44" s="73">
        <f>IF(G43&lt;&gt;"",G43,"")</f>
        <v>6</v>
      </c>
      <c r="H44" s="79" t="str">
        <f>IF(E39&lt;&gt;"",
IF($C$14=1,"6-9%",
IF($C$14=2,"",
IF($C$14=3,"4-6%", “”))),"")</f>
        <v>4-6%</v>
      </c>
      <c r="I44" s="30"/>
    </row>
    <row r="45" spans="1:9" x14ac:dyDescent="0.25">
      <c r="A45" s="29"/>
      <c r="B45" s="11"/>
      <c r="C45" s="11"/>
      <c r="D45" s="11"/>
      <c r="E45" s="11"/>
      <c r="F45" s="11"/>
      <c r="G45" s="11"/>
      <c r="H45" s="11"/>
      <c r="I45" s="30"/>
    </row>
    <row r="46" spans="1:9" ht="15.75" thickBot="1" x14ac:dyDescent="0.3">
      <c r="A46" s="37" t="s">
        <v>4</v>
      </c>
      <c r="B46" s="36"/>
      <c r="C46" s="33"/>
      <c r="D46" s="33"/>
      <c r="E46" s="33"/>
      <c r="F46" s="33"/>
      <c r="G46" s="33"/>
      <c r="H46" s="33"/>
      <c r="I46" s="34"/>
    </row>
    <row r="48" spans="1:9" x14ac:dyDescent="0.25">
      <c r="A48" s="83" t="s">
        <v>44</v>
      </c>
    </row>
    <row r="49" spans="1:1" x14ac:dyDescent="0.25">
      <c r="A49" s="83"/>
    </row>
    <row r="50" spans="1:1" x14ac:dyDescent="0.25">
      <c r="A50" s="83" t="s">
        <v>45</v>
      </c>
    </row>
  </sheetData>
  <mergeCells count="18">
    <mergeCell ref="B37:B44"/>
    <mergeCell ref="C39:D39"/>
    <mergeCell ref="C40:D40"/>
    <mergeCell ref="B19:H19"/>
    <mergeCell ref="B21:B28"/>
    <mergeCell ref="C23:D23"/>
    <mergeCell ref="C24:D24"/>
    <mergeCell ref="B29:B36"/>
    <mergeCell ref="C31:D31"/>
    <mergeCell ref="C32:D32"/>
    <mergeCell ref="C14:H14"/>
    <mergeCell ref="B16:H16"/>
    <mergeCell ref="C17:H17"/>
    <mergeCell ref="A1:I1"/>
    <mergeCell ref="A2:I2"/>
    <mergeCell ref="B10:H10"/>
    <mergeCell ref="C11:H11"/>
    <mergeCell ref="B13:H13"/>
  </mergeCells>
  <hyperlinks>
    <hyperlink ref="A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defaultRowHeight="15" x14ac:dyDescent="0.25"/>
  <sheetData>
    <row r="1" spans="1:1" x14ac:dyDescent="0.3">
      <c r="A1" t="s">
        <v>44</v>
      </c>
    </row>
    <row r="3" spans="1:1" x14ac:dyDescent="0.3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PNP1</vt:lpstr>
      <vt:lpstr>PNP2</vt:lpstr>
      <vt:lpstr>PNP3</vt:lpstr>
      <vt:lpstr>PIP1</vt:lpstr>
      <vt:lpstr>PIP2</vt:lpstr>
      <vt:lpstr>PIP3</vt:lpstr>
      <vt:lpstr>Copyright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</dc:creator>
  <cp:lastModifiedBy>Thoms, Jonathan</cp:lastModifiedBy>
  <dcterms:created xsi:type="dcterms:W3CDTF">2014-04-26T15:50:55Z</dcterms:created>
  <dcterms:modified xsi:type="dcterms:W3CDTF">2015-04-16T18:04:54Z</dcterms:modified>
</cp:coreProperties>
</file>