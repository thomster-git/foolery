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317"/>
  <workbookPr checkCompatibility="1" autoCompressPictures="0"/>
  <bookViews>
    <workbookView xWindow="0" yWindow="0" windowWidth="25600" windowHeight="15460" tabRatio="716" activeTab="5"/>
  </bookViews>
  <sheets>
    <sheet name="INPUTS" sheetId="2" r:id="rId1"/>
    <sheet name="CUTTING TRACKER" sheetId="1" r:id="rId2"/>
    <sheet name="BULKING TRACKER" sheetId="4" r:id="rId3"/>
    <sheet name="PLOTS" sheetId="3" r:id="rId4"/>
    <sheet name="Water Cut Protocol" sheetId="7" r:id="rId5"/>
    <sheet name="Attempt Selection" sheetId="8" r:id="rId6"/>
    <sheet name="Sheet1" sheetId="9" r:id="rId7"/>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11" i="8" l="1"/>
  <c r="E11" i="8"/>
  <c r="X19" i="9"/>
  <c r="Y19" i="9"/>
  <c r="B23" i="9"/>
  <c r="D23" i="9"/>
  <c r="X18" i="9"/>
  <c r="Y18" i="9"/>
  <c r="B22" i="9"/>
  <c r="D22" i="9"/>
  <c r="X17" i="9"/>
  <c r="Y17" i="9"/>
  <c r="B21" i="9"/>
  <c r="D21" i="9"/>
  <c r="X16" i="9"/>
  <c r="Y16" i="9"/>
  <c r="B20" i="9"/>
  <c r="D20" i="9"/>
  <c r="B10" i="8"/>
  <c r="E10" i="8"/>
  <c r="X14" i="9"/>
  <c r="Y14" i="9"/>
  <c r="B18" i="9"/>
  <c r="D18" i="9"/>
  <c r="X13" i="9"/>
  <c r="Y13" i="9"/>
  <c r="B17" i="9"/>
  <c r="D17" i="9"/>
  <c r="X12" i="9"/>
  <c r="Y12" i="9"/>
  <c r="B16" i="9"/>
  <c r="D16" i="9"/>
  <c r="X11" i="9"/>
  <c r="Y11" i="9"/>
  <c r="B15" i="9"/>
  <c r="D15" i="9"/>
  <c r="B9" i="8"/>
  <c r="E9" i="8"/>
  <c r="X9" i="9"/>
  <c r="Y9" i="9"/>
  <c r="B13" i="9"/>
  <c r="D13" i="9"/>
  <c r="X8" i="9"/>
  <c r="Y8" i="9"/>
  <c r="B12" i="9"/>
  <c r="D12" i="9"/>
  <c r="X7" i="9"/>
  <c r="Y7" i="9"/>
  <c r="B11" i="9"/>
  <c r="D11" i="9"/>
  <c r="X6" i="9"/>
  <c r="Y6" i="9"/>
  <c r="B10" i="9"/>
  <c r="D10" i="9"/>
  <c r="D4" i="9"/>
  <c r="F23" i="9"/>
  <c r="F22" i="9"/>
  <c r="F21" i="9"/>
  <c r="F20" i="9"/>
  <c r="F18" i="9"/>
  <c r="H18" i="9"/>
  <c r="F17" i="9"/>
  <c r="F16" i="9"/>
  <c r="F15" i="9"/>
  <c r="F13" i="9"/>
  <c r="F12" i="9"/>
  <c r="F11" i="9"/>
  <c r="H11" i="9"/>
  <c r="F10" i="9"/>
  <c r="F4" i="9"/>
  <c r="H4" i="9"/>
  <c r="J4" i="9"/>
  <c r="L4" i="9"/>
  <c r="H23" i="9"/>
  <c r="J23" i="9"/>
  <c r="H22" i="9"/>
  <c r="H21" i="9"/>
  <c r="J21" i="9"/>
  <c r="H20" i="9"/>
  <c r="J20" i="9"/>
  <c r="J18" i="9"/>
  <c r="L18" i="9"/>
  <c r="N18" i="9"/>
  <c r="P18" i="9"/>
  <c r="H17" i="9"/>
  <c r="H16" i="9"/>
  <c r="J16" i="9"/>
  <c r="L16" i="9"/>
  <c r="N16" i="9"/>
  <c r="H15" i="9"/>
  <c r="J15" i="9"/>
  <c r="H13" i="9"/>
  <c r="J13" i="9"/>
  <c r="L13" i="9"/>
  <c r="H12" i="9"/>
  <c r="J12" i="9"/>
  <c r="J11" i="9"/>
  <c r="L11" i="9"/>
  <c r="N11" i="9"/>
  <c r="P11" i="9"/>
  <c r="H10" i="9"/>
  <c r="N4" i="9"/>
  <c r="P4" i="9"/>
  <c r="L3" i="7"/>
  <c r="L4" i="7"/>
  <c r="B14" i="7"/>
  <c r="L23" i="9"/>
  <c r="N23" i="9"/>
  <c r="P23" i="9"/>
  <c r="J22" i="9"/>
  <c r="L21" i="9"/>
  <c r="N21" i="9"/>
  <c r="P21" i="9"/>
  <c r="L20" i="9"/>
  <c r="N20" i="9"/>
  <c r="P20" i="9"/>
  <c r="J17" i="9"/>
  <c r="L17" i="9"/>
  <c r="N17" i="9"/>
  <c r="P16" i="9"/>
  <c r="L15" i="9"/>
  <c r="N15" i="9"/>
  <c r="N13" i="9"/>
  <c r="P13" i="9"/>
  <c r="L12" i="9"/>
  <c r="J10" i="9"/>
  <c r="B13" i="7"/>
  <c r="B12" i="7"/>
  <c r="B11" i="7"/>
  <c r="B10" i="7"/>
  <c r="B9" i="7"/>
  <c r="B8" i="7"/>
  <c r="B7" i="7"/>
  <c r="B6" i="7"/>
  <c r="B5" i="7"/>
  <c r="B4" i="7"/>
  <c r="B3" i="7"/>
  <c r="B2" i="7"/>
  <c r="L22" i="9"/>
  <c r="P17" i="9"/>
  <c r="P15" i="9"/>
  <c r="N12" i="9"/>
  <c r="P12" i="9"/>
  <c r="L10" i="9"/>
  <c r="N10" i="9"/>
  <c r="P10" i="9"/>
  <c r="I9" i="1"/>
  <c r="N22" i="9"/>
  <c r="P22" i="9"/>
  <c r="F234" i="1"/>
  <c r="G234" i="1"/>
  <c r="F227" i="1"/>
  <c r="G227" i="1"/>
  <c r="F220" i="1"/>
  <c r="G220" i="1"/>
  <c r="F213" i="1"/>
  <c r="G213" i="1"/>
  <c r="F206" i="1"/>
  <c r="G206" i="1"/>
  <c r="F199" i="1"/>
  <c r="G199" i="1"/>
  <c r="F192" i="1"/>
  <c r="G192" i="1"/>
  <c r="F185" i="1"/>
  <c r="G185" i="1"/>
  <c r="F178" i="1"/>
  <c r="G178" i="1"/>
  <c r="F171" i="1"/>
  <c r="G171" i="1"/>
  <c r="F164" i="1"/>
  <c r="G164" i="1"/>
  <c r="F157" i="1"/>
  <c r="G157" i="1"/>
  <c r="F150" i="1"/>
  <c r="G150" i="1"/>
  <c r="F143" i="1"/>
  <c r="G143" i="1"/>
  <c r="F136" i="1"/>
  <c r="G136" i="1"/>
  <c r="F129" i="1"/>
  <c r="G129" i="1"/>
  <c r="F122" i="1"/>
  <c r="G122" i="1"/>
  <c r="F115" i="1"/>
  <c r="G115" i="1"/>
  <c r="F108" i="1"/>
  <c r="G108" i="1"/>
  <c r="F101" i="1"/>
  <c r="G101" i="1"/>
  <c r="F94" i="1"/>
  <c r="G94" i="1"/>
  <c r="F87" i="1"/>
  <c r="G87" i="1"/>
  <c r="F80" i="1"/>
  <c r="G80" i="1"/>
  <c r="F73" i="1"/>
  <c r="G73" i="1"/>
  <c r="F66" i="1"/>
  <c r="G66" i="1"/>
  <c r="F59" i="1"/>
  <c r="G59" i="1"/>
  <c r="F52" i="1"/>
  <c r="G52" i="1"/>
  <c r="F45" i="1"/>
  <c r="G45" i="1"/>
  <c r="F38" i="1"/>
  <c r="G38" i="1"/>
  <c r="F31" i="1"/>
  <c r="G31" i="1"/>
  <c r="F24" i="1"/>
  <c r="G24" i="1"/>
  <c r="F17" i="1"/>
  <c r="G17" i="1"/>
  <c r="F10" i="1"/>
  <c r="G10" i="1"/>
  <c r="F3" i="1"/>
  <c r="G3" i="1"/>
  <c r="V29" i="8"/>
  <c r="P3" i="1"/>
  <c r="H17" i="1"/>
  <c r="Q17" i="1"/>
  <c r="I17" i="1"/>
  <c r="M17" i="1"/>
  <c r="C17" i="8"/>
  <c r="J28" i="8"/>
  <c r="H17" i="4"/>
  <c r="N17" i="4"/>
  <c r="O3" i="4"/>
  <c r="O12" i="8"/>
  <c r="P12" i="8"/>
  <c r="Q12" i="8"/>
  <c r="R12" i="8"/>
  <c r="S12" i="8"/>
  <c r="T12" i="8"/>
  <c r="U12" i="8"/>
  <c r="V12" i="8"/>
  <c r="W12" i="8"/>
  <c r="O13" i="8"/>
  <c r="P13" i="8"/>
  <c r="Q13" i="8"/>
  <c r="R13" i="8"/>
  <c r="S13" i="8"/>
  <c r="T13" i="8"/>
  <c r="U13" i="8"/>
  <c r="V13" i="8"/>
  <c r="W13" i="8"/>
  <c r="O14" i="8"/>
  <c r="P14" i="8"/>
  <c r="Q14" i="8"/>
  <c r="R14" i="8"/>
  <c r="S14" i="8"/>
  <c r="T14" i="8"/>
  <c r="U14" i="8"/>
  <c r="V14" i="8"/>
  <c r="W14" i="8"/>
  <c r="O15" i="8"/>
  <c r="P15" i="8"/>
  <c r="Q15" i="8"/>
  <c r="R15" i="8"/>
  <c r="S15" i="8"/>
  <c r="T15" i="8"/>
  <c r="U15" i="8"/>
  <c r="V15" i="8"/>
  <c r="W15" i="8"/>
  <c r="O16" i="8"/>
  <c r="P16" i="8"/>
  <c r="Q16" i="8"/>
  <c r="R16" i="8"/>
  <c r="S16" i="8"/>
  <c r="T16" i="8"/>
  <c r="U16" i="8"/>
  <c r="V16" i="8"/>
  <c r="W16" i="8"/>
  <c r="O17" i="8"/>
  <c r="P17" i="8"/>
  <c r="Q17" i="8"/>
  <c r="R17" i="8"/>
  <c r="S17" i="8"/>
  <c r="T17" i="8"/>
  <c r="U17" i="8"/>
  <c r="V17" i="8"/>
  <c r="W17" i="8"/>
  <c r="O18" i="8"/>
  <c r="P18" i="8"/>
  <c r="Q18" i="8"/>
  <c r="R18" i="8"/>
  <c r="S18" i="8"/>
  <c r="T18" i="8"/>
  <c r="U18" i="8"/>
  <c r="V18" i="8"/>
  <c r="W18" i="8"/>
  <c r="O19" i="8"/>
  <c r="P19" i="8"/>
  <c r="Q19" i="8"/>
  <c r="R19" i="8"/>
  <c r="S19" i="8"/>
  <c r="T19" i="8"/>
  <c r="U19" i="8"/>
  <c r="V19" i="8"/>
  <c r="W19" i="8"/>
  <c r="N13" i="8"/>
  <c r="N14" i="8"/>
  <c r="N15" i="8"/>
  <c r="N16" i="8"/>
  <c r="N17" i="8"/>
  <c r="N18" i="8"/>
  <c r="N19" i="8"/>
  <c r="N12" i="8"/>
  <c r="E20" i="8"/>
  <c r="F20" i="8"/>
  <c r="C20" i="8"/>
  <c r="E18" i="8"/>
  <c r="E19" i="8"/>
  <c r="E16" i="8"/>
  <c r="E17" i="8"/>
  <c r="B15" i="2"/>
  <c r="P367" i="4"/>
  <c r="H367" i="4"/>
  <c r="M367" i="4"/>
  <c r="L367" i="4"/>
  <c r="I367" i="4"/>
  <c r="G367" i="4"/>
  <c r="F367" i="4"/>
  <c r="P360" i="4"/>
  <c r="H360" i="4"/>
  <c r="N360" i="4"/>
  <c r="M360" i="4"/>
  <c r="J360" i="4"/>
  <c r="I360" i="4"/>
  <c r="L360" i="4"/>
  <c r="G360" i="4"/>
  <c r="F360" i="4"/>
  <c r="P353" i="4"/>
  <c r="H353" i="4"/>
  <c r="N353" i="4"/>
  <c r="M353" i="4"/>
  <c r="K353" i="4"/>
  <c r="J353" i="4"/>
  <c r="I353" i="4"/>
  <c r="L353" i="4"/>
  <c r="G353" i="4"/>
  <c r="F353" i="4"/>
  <c r="P346" i="4"/>
  <c r="H346" i="4"/>
  <c r="G346" i="4"/>
  <c r="F346" i="4"/>
  <c r="P339" i="4"/>
  <c r="H339" i="4"/>
  <c r="M339" i="4"/>
  <c r="L339" i="4"/>
  <c r="G339" i="4"/>
  <c r="F339" i="4"/>
  <c r="P332" i="4"/>
  <c r="H332" i="4"/>
  <c r="N332" i="4"/>
  <c r="M332" i="4"/>
  <c r="J332" i="4"/>
  <c r="I332" i="4"/>
  <c r="L332" i="4"/>
  <c r="G332" i="4"/>
  <c r="F332" i="4"/>
  <c r="P325" i="4"/>
  <c r="H325" i="4"/>
  <c r="N325" i="4"/>
  <c r="M325" i="4"/>
  <c r="K325" i="4"/>
  <c r="J325" i="4"/>
  <c r="I325" i="4"/>
  <c r="L325" i="4"/>
  <c r="G325" i="4"/>
  <c r="F325" i="4"/>
  <c r="P318" i="4"/>
  <c r="H318" i="4"/>
  <c r="K318" i="4"/>
  <c r="G318" i="4"/>
  <c r="F318" i="4"/>
  <c r="P311" i="4"/>
  <c r="H311" i="4"/>
  <c r="M311" i="4"/>
  <c r="G311" i="4"/>
  <c r="F311" i="4"/>
  <c r="P304" i="4"/>
  <c r="H304" i="4"/>
  <c r="N304" i="4"/>
  <c r="M304" i="4"/>
  <c r="J304" i="4"/>
  <c r="I304" i="4"/>
  <c r="L304" i="4"/>
  <c r="G304" i="4"/>
  <c r="F304" i="4"/>
  <c r="P297" i="4"/>
  <c r="H297" i="4"/>
  <c r="N297" i="4"/>
  <c r="M297" i="4"/>
  <c r="K297" i="4"/>
  <c r="J297" i="4"/>
  <c r="I297" i="4"/>
  <c r="L297" i="4"/>
  <c r="G297" i="4"/>
  <c r="F297" i="4"/>
  <c r="P290" i="4"/>
  <c r="H290" i="4"/>
  <c r="G290" i="4"/>
  <c r="F290" i="4"/>
  <c r="P283" i="4"/>
  <c r="H283" i="4"/>
  <c r="M283" i="4"/>
  <c r="L283" i="4"/>
  <c r="G283" i="4"/>
  <c r="F283" i="4"/>
  <c r="P276" i="4"/>
  <c r="H276" i="4"/>
  <c r="N276" i="4"/>
  <c r="M276" i="4"/>
  <c r="J276" i="4"/>
  <c r="I276" i="4"/>
  <c r="L276" i="4"/>
  <c r="G276" i="4"/>
  <c r="F276" i="4"/>
  <c r="P269" i="4"/>
  <c r="H269" i="4"/>
  <c r="N269" i="4"/>
  <c r="M269" i="4"/>
  <c r="K269" i="4"/>
  <c r="J269" i="4"/>
  <c r="I269" i="4"/>
  <c r="L269" i="4"/>
  <c r="G269" i="4"/>
  <c r="F269" i="4"/>
  <c r="P262" i="4"/>
  <c r="H262" i="4"/>
  <c r="K262" i="4"/>
  <c r="G262" i="4"/>
  <c r="F262" i="4"/>
  <c r="P255" i="4"/>
  <c r="H255" i="4"/>
  <c r="M255" i="4"/>
  <c r="K255" i="4"/>
  <c r="I255" i="4"/>
  <c r="G255" i="4"/>
  <c r="F255" i="4"/>
  <c r="P248" i="4"/>
  <c r="H248" i="4"/>
  <c r="M248" i="4"/>
  <c r="L248" i="4"/>
  <c r="I248" i="4"/>
  <c r="G248" i="4"/>
  <c r="F248" i="4"/>
  <c r="P241" i="4"/>
  <c r="H241" i="4"/>
  <c r="N241" i="4"/>
  <c r="M241" i="4"/>
  <c r="K241" i="4"/>
  <c r="J241" i="4"/>
  <c r="I241" i="4"/>
  <c r="L241" i="4"/>
  <c r="G241" i="4"/>
  <c r="F241" i="4"/>
  <c r="P234" i="4"/>
  <c r="H234" i="4"/>
  <c r="N234" i="4"/>
  <c r="L234" i="4"/>
  <c r="K234" i="4"/>
  <c r="G234" i="4"/>
  <c r="F234" i="4"/>
  <c r="P227" i="4"/>
  <c r="H227" i="4"/>
  <c r="G227" i="4"/>
  <c r="F227" i="4"/>
  <c r="P220" i="4"/>
  <c r="H220" i="4"/>
  <c r="G220" i="4"/>
  <c r="F220" i="4"/>
  <c r="P213" i="4"/>
  <c r="H213" i="4"/>
  <c r="N213" i="4"/>
  <c r="M213" i="4"/>
  <c r="K213" i="4"/>
  <c r="J213" i="4"/>
  <c r="I213" i="4"/>
  <c r="L213" i="4"/>
  <c r="G213" i="4"/>
  <c r="F213" i="4"/>
  <c r="P206" i="4"/>
  <c r="H206" i="4"/>
  <c r="L206" i="4"/>
  <c r="K206" i="4"/>
  <c r="J206" i="4"/>
  <c r="G206" i="4"/>
  <c r="F206" i="4"/>
  <c r="P199" i="4"/>
  <c r="H199" i="4"/>
  <c r="M199" i="4"/>
  <c r="L199" i="4"/>
  <c r="K199" i="4"/>
  <c r="G199" i="4"/>
  <c r="F199" i="4"/>
  <c r="P192" i="4"/>
  <c r="H192" i="4"/>
  <c r="N192" i="4"/>
  <c r="L192" i="4"/>
  <c r="J192" i="4"/>
  <c r="I192" i="4"/>
  <c r="K192" i="4"/>
  <c r="G192" i="4"/>
  <c r="F192" i="4"/>
  <c r="P185" i="4"/>
  <c r="H185" i="4"/>
  <c r="M185" i="4"/>
  <c r="K185" i="4"/>
  <c r="I185" i="4"/>
  <c r="G185" i="4"/>
  <c r="F185" i="4"/>
  <c r="P178" i="4"/>
  <c r="H178" i="4"/>
  <c r="N178" i="4"/>
  <c r="L178" i="4"/>
  <c r="J178" i="4"/>
  <c r="I178" i="4"/>
  <c r="K178" i="4"/>
  <c r="G178" i="4"/>
  <c r="F178" i="4"/>
  <c r="P171" i="4"/>
  <c r="H171" i="4"/>
  <c r="N171" i="4"/>
  <c r="M171" i="4"/>
  <c r="K171" i="4"/>
  <c r="J171" i="4"/>
  <c r="I171" i="4"/>
  <c r="L171" i="4"/>
  <c r="G171" i="4"/>
  <c r="F171" i="4"/>
  <c r="P164" i="4"/>
  <c r="H164" i="4"/>
  <c r="G164" i="4"/>
  <c r="F164" i="4"/>
  <c r="P157" i="4"/>
  <c r="H157" i="4"/>
  <c r="L157" i="4"/>
  <c r="K157" i="4"/>
  <c r="I157" i="4"/>
  <c r="G157" i="4"/>
  <c r="F157" i="4"/>
  <c r="P150" i="4"/>
  <c r="H150" i="4"/>
  <c r="G150" i="4"/>
  <c r="F150" i="4"/>
  <c r="P143" i="4"/>
  <c r="H143" i="4"/>
  <c r="N143" i="4"/>
  <c r="M143" i="4"/>
  <c r="K143" i="4"/>
  <c r="J143" i="4"/>
  <c r="I143" i="4"/>
  <c r="L143" i="4"/>
  <c r="G143" i="4"/>
  <c r="F143" i="4"/>
  <c r="P136" i="4"/>
  <c r="H136" i="4"/>
  <c r="L136" i="4"/>
  <c r="K136" i="4"/>
  <c r="G136" i="4"/>
  <c r="F136" i="4"/>
  <c r="P129" i="4"/>
  <c r="H129" i="4"/>
  <c r="M129" i="4"/>
  <c r="G129" i="4"/>
  <c r="F129" i="4"/>
  <c r="P122" i="4"/>
  <c r="H122" i="4"/>
  <c r="L122" i="4"/>
  <c r="K122" i="4"/>
  <c r="G122" i="4"/>
  <c r="F122" i="4"/>
  <c r="P115" i="4"/>
  <c r="H115" i="4"/>
  <c r="N115" i="4"/>
  <c r="M115" i="4"/>
  <c r="K115" i="4"/>
  <c r="J115" i="4"/>
  <c r="I115" i="4"/>
  <c r="L115" i="4"/>
  <c r="G115" i="4"/>
  <c r="F115" i="4"/>
  <c r="P108" i="4"/>
  <c r="H108" i="4"/>
  <c r="L108" i="4"/>
  <c r="K108" i="4"/>
  <c r="J108" i="4"/>
  <c r="G108" i="4"/>
  <c r="F108" i="4"/>
  <c r="P101" i="4"/>
  <c r="H101" i="4"/>
  <c r="L101" i="4"/>
  <c r="G101" i="4"/>
  <c r="F101" i="4"/>
  <c r="P94" i="4"/>
  <c r="H94" i="4"/>
  <c r="N94" i="4"/>
  <c r="M94" i="4"/>
  <c r="K94" i="4"/>
  <c r="J94" i="4"/>
  <c r="I94" i="4"/>
  <c r="L94" i="4"/>
  <c r="G94" i="4"/>
  <c r="F94" i="4"/>
  <c r="P87" i="4"/>
  <c r="H87" i="4"/>
  <c r="N87" i="4"/>
  <c r="K87" i="4"/>
  <c r="J87" i="4"/>
  <c r="L87" i="4"/>
  <c r="G87" i="4"/>
  <c r="F87" i="4"/>
  <c r="P80" i="4"/>
  <c r="H80" i="4"/>
  <c r="K80" i="4"/>
  <c r="M80" i="4"/>
  <c r="G80" i="4"/>
  <c r="F80" i="4"/>
  <c r="P73" i="4"/>
  <c r="H73" i="4"/>
  <c r="L73" i="4"/>
  <c r="G73" i="4"/>
  <c r="F73" i="4"/>
  <c r="P66" i="4"/>
  <c r="H66" i="4"/>
  <c r="N66" i="4"/>
  <c r="M66" i="4"/>
  <c r="K66" i="4"/>
  <c r="J66" i="4"/>
  <c r="I66" i="4"/>
  <c r="L66" i="4"/>
  <c r="G66" i="4"/>
  <c r="F66" i="4"/>
  <c r="P59" i="4"/>
  <c r="H59" i="4"/>
  <c r="N59" i="4"/>
  <c r="K59" i="4"/>
  <c r="J59" i="4"/>
  <c r="M59" i="4"/>
  <c r="G59" i="4"/>
  <c r="F59" i="4"/>
  <c r="P52" i="4"/>
  <c r="H52" i="4"/>
  <c r="L52" i="4"/>
  <c r="K52" i="4"/>
  <c r="G52" i="4"/>
  <c r="F52" i="4"/>
  <c r="P45" i="4"/>
  <c r="H45" i="4"/>
  <c r="N45" i="4"/>
  <c r="G45" i="4"/>
  <c r="F45" i="4"/>
  <c r="P38" i="4"/>
  <c r="H38" i="4"/>
  <c r="N38" i="4"/>
  <c r="I38" i="4"/>
  <c r="G38" i="4"/>
  <c r="F38" i="4"/>
  <c r="P31" i="4"/>
  <c r="H31" i="4"/>
  <c r="M31" i="4"/>
  <c r="G31" i="4"/>
  <c r="F31" i="4"/>
  <c r="P24" i="4"/>
  <c r="G24" i="4"/>
  <c r="F24" i="4"/>
  <c r="P17" i="4"/>
  <c r="G17" i="4"/>
  <c r="F17" i="4"/>
  <c r="G10" i="4"/>
  <c r="F10" i="4"/>
  <c r="F3"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H24" i="4"/>
  <c r="N24" i="4"/>
  <c r="J31" i="4"/>
  <c r="K31" i="4"/>
  <c r="N31" i="4"/>
  <c r="L17" i="4"/>
  <c r="K17" i="4"/>
  <c r="I17" i="4"/>
  <c r="M17" i="4"/>
  <c r="J17" i="4"/>
  <c r="M24" i="4"/>
  <c r="K45" i="4"/>
  <c r="N227" i="4"/>
  <c r="J227" i="4"/>
  <c r="K227" i="4"/>
  <c r="L227" i="4"/>
  <c r="M227" i="4"/>
  <c r="I227" i="4"/>
  <c r="N346" i="4"/>
  <c r="J346" i="4"/>
  <c r="M346" i="4"/>
  <c r="I346" i="4"/>
  <c r="L346" i="4"/>
  <c r="K346" i="4"/>
  <c r="K24" i="4"/>
  <c r="K150" i="4"/>
  <c r="J150" i="4"/>
  <c r="N150" i="4"/>
  <c r="I150" i="4"/>
  <c r="L150" i="4"/>
  <c r="M150" i="4"/>
  <c r="M45" i="4"/>
  <c r="M52" i="4"/>
  <c r="N52" i="4"/>
  <c r="J52" i="4"/>
  <c r="I52" i="4"/>
  <c r="N73" i="4"/>
  <c r="M73" i="4"/>
  <c r="K73" i="4"/>
  <c r="J73" i="4"/>
  <c r="I73" i="4"/>
  <c r="N129" i="4"/>
  <c r="J129" i="4"/>
  <c r="K129" i="4"/>
  <c r="L129" i="4"/>
  <c r="I129" i="4"/>
  <c r="K220" i="4"/>
  <c r="N220" i="4"/>
  <c r="I220" i="4"/>
  <c r="L220" i="4"/>
  <c r="J220" i="4"/>
  <c r="M220" i="4"/>
  <c r="N290" i="4"/>
  <c r="J290" i="4"/>
  <c r="M290" i="4"/>
  <c r="I290" i="4"/>
  <c r="L290" i="4"/>
  <c r="K290" i="4"/>
  <c r="N101" i="4"/>
  <c r="J101" i="4"/>
  <c r="M101" i="4"/>
  <c r="K101" i="4"/>
  <c r="I101" i="4"/>
  <c r="M164" i="4"/>
  <c r="I164" i="4"/>
  <c r="K164" i="4"/>
  <c r="L164" i="4"/>
  <c r="J164" i="4"/>
  <c r="I45" i="4"/>
  <c r="N164" i="4"/>
  <c r="L80" i="4"/>
  <c r="M122" i="4"/>
  <c r="N136" i="4"/>
  <c r="L31" i="4"/>
  <c r="L59" i="4"/>
  <c r="I80" i="4"/>
  <c r="N108" i="4"/>
  <c r="I122" i="4"/>
  <c r="N122" i="4"/>
  <c r="I31" i="4"/>
  <c r="I59" i="4"/>
  <c r="J80" i="4"/>
  <c r="N80" i="4"/>
  <c r="I87" i="4"/>
  <c r="M87" i="4"/>
  <c r="J122" i="4"/>
  <c r="N157" i="4"/>
  <c r="J157" i="4"/>
  <c r="M157" i="4"/>
  <c r="M178" i="4"/>
  <c r="N255" i="4"/>
  <c r="J255" i="4"/>
  <c r="L255" i="4"/>
  <c r="K283" i="4"/>
  <c r="N283" i="4"/>
  <c r="J283" i="4"/>
  <c r="I283" i="4"/>
  <c r="K339" i="4"/>
  <c r="N339" i="4"/>
  <c r="J339" i="4"/>
  <c r="I339" i="4"/>
  <c r="M136" i="4"/>
  <c r="I136" i="4"/>
  <c r="K311" i="4"/>
  <c r="N311" i="4"/>
  <c r="J311" i="4"/>
  <c r="I311" i="4"/>
  <c r="M108" i="4"/>
  <c r="I108" i="4"/>
  <c r="J136" i="4"/>
  <c r="L185" i="4"/>
  <c r="J185" i="4"/>
  <c r="N185" i="4"/>
  <c r="N199" i="4"/>
  <c r="J199" i="4"/>
  <c r="I199" i="4"/>
  <c r="M234" i="4"/>
  <c r="I234" i="4"/>
  <c r="J234" i="4"/>
  <c r="K248" i="4"/>
  <c r="J248" i="4"/>
  <c r="N248" i="4"/>
  <c r="N262" i="4"/>
  <c r="J262" i="4"/>
  <c r="M262" i="4"/>
  <c r="I262" i="4"/>
  <c r="L262" i="4"/>
  <c r="L311" i="4"/>
  <c r="N318" i="4"/>
  <c r="J318" i="4"/>
  <c r="M318" i="4"/>
  <c r="I318" i="4"/>
  <c r="L318" i="4"/>
  <c r="M192" i="4"/>
  <c r="M206" i="4"/>
  <c r="I206" i="4"/>
  <c r="N206" i="4"/>
  <c r="K367" i="4"/>
  <c r="N367" i="4"/>
  <c r="J367" i="4"/>
  <c r="K276" i="4"/>
  <c r="K304" i="4"/>
  <c r="K332" i="4"/>
  <c r="K360" i="4"/>
  <c r="C15" i="2"/>
  <c r="C13" i="2"/>
  <c r="C14" i="2"/>
  <c r="B13" i="2"/>
  <c r="B14" i="2"/>
  <c r="B16" i="2"/>
  <c r="I367" i="1"/>
  <c r="I360" i="1"/>
  <c r="I353" i="1"/>
  <c r="I346" i="1"/>
  <c r="I339" i="1"/>
  <c r="I332" i="1"/>
  <c r="I325" i="1"/>
  <c r="I318" i="1"/>
  <c r="I311" i="1"/>
  <c r="I304" i="1"/>
  <c r="I297" i="1"/>
  <c r="I290" i="1"/>
  <c r="I283" i="1"/>
  <c r="I276" i="1"/>
  <c r="I269" i="1"/>
  <c r="I262" i="1"/>
  <c r="I255" i="1"/>
  <c r="I248" i="1"/>
  <c r="I241" i="1"/>
  <c r="I234" i="1"/>
  <c r="I227" i="1"/>
  <c r="I220" i="1"/>
  <c r="I213" i="1"/>
  <c r="I206" i="1"/>
  <c r="I199" i="1"/>
  <c r="I192" i="1"/>
  <c r="I185" i="1"/>
  <c r="I178" i="1"/>
  <c r="I171" i="1"/>
  <c r="I164" i="1"/>
  <c r="I157" i="1"/>
  <c r="I150" i="1"/>
  <c r="I143" i="1"/>
  <c r="I136" i="1"/>
  <c r="I129" i="1"/>
  <c r="I122" i="1"/>
  <c r="I115" i="1"/>
  <c r="I108" i="1"/>
  <c r="I101" i="1"/>
  <c r="I94" i="1"/>
  <c r="I87" i="1"/>
  <c r="I80" i="1"/>
  <c r="I73" i="1"/>
  <c r="I66" i="1"/>
  <c r="I59" i="1"/>
  <c r="I52" i="1"/>
  <c r="I45" i="1"/>
  <c r="I38" i="1"/>
  <c r="I31" i="1"/>
  <c r="M31" i="1"/>
  <c r="H24" i="1"/>
  <c r="I24" i="1"/>
  <c r="H10" i="1"/>
  <c r="I10" i="1"/>
  <c r="J24" i="4"/>
  <c r="I24" i="4"/>
  <c r="L24" i="4"/>
  <c r="Q367" i="1"/>
  <c r="Q360" i="1"/>
  <c r="Q353" i="1"/>
  <c r="Q346" i="1"/>
  <c r="Q339" i="1"/>
  <c r="Q332" i="1"/>
  <c r="Q325" i="1"/>
  <c r="Q318" i="1"/>
  <c r="Q311" i="1"/>
  <c r="Q304" i="1"/>
  <c r="Q297" i="1"/>
  <c r="Q290" i="1"/>
  <c r="Q283" i="1"/>
  <c r="Q276" i="1"/>
  <c r="Q269" i="1"/>
  <c r="Q262" i="1"/>
  <c r="Q255" i="1"/>
  <c r="Q248" i="1"/>
  <c r="Q241" i="1"/>
  <c r="Q234" i="1"/>
  <c r="Q227" i="1"/>
  <c r="Q220" i="1"/>
  <c r="Q213" i="1"/>
  <c r="Q206" i="1"/>
  <c r="Q199" i="1"/>
  <c r="Q192" i="1"/>
  <c r="Q185" i="1"/>
  <c r="Q178" i="1"/>
  <c r="Q171" i="1"/>
  <c r="Q164" i="1"/>
  <c r="Q157" i="1"/>
  <c r="Q150" i="1"/>
  <c r="Q143" i="1"/>
  <c r="Q136" i="1"/>
  <c r="Q129" i="1"/>
  <c r="Q122" i="1"/>
  <c r="Q115" i="1"/>
  <c r="Q108" i="1"/>
  <c r="Q101" i="1"/>
  <c r="Q94" i="1"/>
  <c r="Q87" i="1"/>
  <c r="Q80" i="1"/>
  <c r="Q73" i="1"/>
  <c r="Q66" i="1"/>
  <c r="Q59" i="1"/>
  <c r="Q52" i="1"/>
  <c r="Q45" i="1"/>
  <c r="Q31" i="1"/>
  <c r="Q24" i="1"/>
  <c r="F367" i="1"/>
  <c r="F360" i="1"/>
  <c r="F353" i="1"/>
  <c r="F346" i="1"/>
  <c r="F339" i="1"/>
  <c r="F332" i="1"/>
  <c r="F325" i="1"/>
  <c r="F318" i="1"/>
  <c r="F311" i="1"/>
  <c r="F304" i="1"/>
  <c r="F297" i="1"/>
  <c r="F290" i="1"/>
  <c r="F283" i="1"/>
  <c r="F276" i="1"/>
  <c r="F269" i="1"/>
  <c r="F262" i="1"/>
  <c r="F255" i="1"/>
  <c r="F248" i="1"/>
  <c r="F241" i="1"/>
  <c r="L367" i="1"/>
  <c r="H367" i="1"/>
  <c r="H360" i="1"/>
  <c r="L353" i="1"/>
  <c r="H353" i="1"/>
  <c r="H346" i="1"/>
  <c r="L339" i="1"/>
  <c r="H339" i="1"/>
  <c r="L332" i="1"/>
  <c r="H332" i="1"/>
  <c r="L325" i="1"/>
  <c r="H325" i="1"/>
  <c r="L318" i="1"/>
  <c r="H318" i="1"/>
  <c r="H311" i="1"/>
  <c r="L304" i="1"/>
  <c r="H304" i="1"/>
  <c r="L297" i="1"/>
  <c r="H297" i="1"/>
  <c r="L290" i="1"/>
  <c r="H290" i="1"/>
  <c r="L283" i="1"/>
  <c r="H283" i="1"/>
  <c r="L276" i="1"/>
  <c r="H276" i="1"/>
  <c r="L269" i="1"/>
  <c r="H269" i="1"/>
  <c r="L262" i="1"/>
  <c r="H262" i="1"/>
  <c r="H255" i="1"/>
  <c r="L248" i="1"/>
  <c r="H248" i="1"/>
  <c r="L241" i="1"/>
  <c r="H241" i="1"/>
  <c r="L234" i="1"/>
  <c r="H234" i="1"/>
  <c r="L227" i="1"/>
  <c r="H227" i="1"/>
  <c r="L220" i="1"/>
  <c r="H220" i="1"/>
  <c r="H213" i="1"/>
  <c r="L206" i="1"/>
  <c r="H206" i="1"/>
  <c r="L199" i="1"/>
  <c r="H199" i="1"/>
  <c r="H192" i="1"/>
  <c r="L185" i="1"/>
  <c r="H185" i="1"/>
  <c r="H178" i="1"/>
  <c r="H171" i="1"/>
  <c r="H164" i="1"/>
  <c r="H157" i="1"/>
  <c r="L150" i="1"/>
  <c r="H150" i="1"/>
  <c r="H143" i="1"/>
  <c r="H136" i="1"/>
  <c r="H129" i="1"/>
  <c r="H122" i="1"/>
  <c r="L115" i="1"/>
  <c r="H115" i="1"/>
  <c r="L108" i="1"/>
  <c r="H108" i="1"/>
  <c r="H101" i="1"/>
  <c r="H94" i="1"/>
  <c r="H87" i="1"/>
  <c r="H80" i="1"/>
  <c r="H73" i="1"/>
  <c r="L66" i="1"/>
  <c r="H66" i="1"/>
  <c r="H59" i="1"/>
  <c r="H52" i="1"/>
  <c r="Q38" i="1"/>
  <c r="H38" i="1"/>
  <c r="H31" i="1"/>
  <c r="C9" i="2"/>
  <c r="B9" i="2"/>
  <c r="C8" i="2"/>
  <c r="B8"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H45" i="1"/>
  <c r="O45" i="1"/>
  <c r="K45" i="1"/>
  <c r="J45" i="1"/>
  <c r="M45" i="1"/>
  <c r="N45" i="1"/>
  <c r="L45" i="1"/>
  <c r="K38" i="1"/>
  <c r="M367" i="1"/>
  <c r="J367" i="1"/>
  <c r="N367" i="1"/>
  <c r="K367" i="1"/>
  <c r="O367" i="1"/>
  <c r="L360" i="1"/>
  <c r="N360" i="1"/>
  <c r="O360" i="1"/>
  <c r="K360" i="1"/>
  <c r="M360" i="1"/>
  <c r="J360" i="1"/>
  <c r="M353" i="1"/>
  <c r="J353" i="1"/>
  <c r="N353" i="1"/>
  <c r="K353" i="1"/>
  <c r="O353" i="1"/>
  <c r="N346" i="1"/>
  <c r="J346" i="1"/>
  <c r="O346" i="1"/>
  <c r="K346" i="1"/>
  <c r="M346" i="1"/>
  <c r="L346" i="1"/>
  <c r="M332" i="1"/>
  <c r="M339" i="1"/>
  <c r="J332" i="1"/>
  <c r="N332" i="1"/>
  <c r="J339" i="1"/>
  <c r="N339" i="1"/>
  <c r="K332" i="1"/>
  <c r="O332" i="1"/>
  <c r="K339" i="1"/>
  <c r="O339" i="1"/>
  <c r="M325" i="1"/>
  <c r="J325" i="1"/>
  <c r="N325" i="1"/>
  <c r="K325" i="1"/>
  <c r="O325" i="1"/>
  <c r="M318" i="1"/>
  <c r="J318" i="1"/>
  <c r="N318" i="1"/>
  <c r="K318" i="1"/>
  <c r="O318" i="1"/>
  <c r="L311" i="1"/>
  <c r="N311" i="1"/>
  <c r="J311" i="1"/>
  <c r="K311" i="1"/>
  <c r="M311" i="1"/>
  <c r="O311" i="1"/>
  <c r="M304" i="1"/>
  <c r="J304" i="1"/>
  <c r="N304" i="1"/>
  <c r="K304" i="1"/>
  <c r="O304" i="1"/>
  <c r="M297" i="1"/>
  <c r="J297" i="1"/>
  <c r="N297" i="1"/>
  <c r="K297" i="1"/>
  <c r="O297" i="1"/>
  <c r="M290" i="1"/>
  <c r="J290" i="1"/>
  <c r="N290" i="1"/>
  <c r="K290" i="1"/>
  <c r="O290" i="1"/>
  <c r="M283" i="1"/>
  <c r="J283" i="1"/>
  <c r="N283" i="1"/>
  <c r="K283" i="1"/>
  <c r="O283" i="1"/>
  <c r="M276" i="1"/>
  <c r="J276" i="1"/>
  <c r="N276" i="1"/>
  <c r="K276" i="1"/>
  <c r="O276" i="1"/>
  <c r="M269" i="1"/>
  <c r="J269" i="1"/>
  <c r="N269" i="1"/>
  <c r="K269" i="1"/>
  <c r="O269" i="1"/>
  <c r="M262" i="1"/>
  <c r="J262" i="1"/>
  <c r="N262" i="1"/>
  <c r="K262" i="1"/>
  <c r="O262" i="1"/>
  <c r="L255" i="1"/>
  <c r="O255" i="1"/>
  <c r="K255" i="1"/>
  <c r="N255" i="1"/>
  <c r="J255" i="1"/>
  <c r="M255" i="1"/>
  <c r="M248" i="1"/>
  <c r="J248" i="1"/>
  <c r="N248" i="1"/>
  <c r="K248" i="1"/>
  <c r="O248" i="1"/>
  <c r="M241" i="1"/>
  <c r="J241" i="1"/>
  <c r="N241" i="1"/>
  <c r="K241" i="1"/>
  <c r="O241" i="1"/>
  <c r="M234" i="1"/>
  <c r="J234" i="1"/>
  <c r="N234" i="1"/>
  <c r="K234" i="1"/>
  <c r="O234" i="1"/>
  <c r="M227" i="1"/>
  <c r="J227" i="1"/>
  <c r="N227" i="1"/>
  <c r="K227" i="1"/>
  <c r="O227" i="1"/>
  <c r="M220" i="1"/>
  <c r="J220" i="1"/>
  <c r="N220" i="1"/>
  <c r="K220" i="1"/>
  <c r="O220" i="1"/>
  <c r="L213" i="1"/>
  <c r="O213" i="1"/>
  <c r="K213" i="1"/>
  <c r="N213" i="1"/>
  <c r="J213" i="1"/>
  <c r="M213" i="1"/>
  <c r="M206" i="1"/>
  <c r="J206" i="1"/>
  <c r="N206" i="1"/>
  <c r="K206" i="1"/>
  <c r="O206" i="1"/>
  <c r="M199" i="1"/>
  <c r="J199" i="1"/>
  <c r="N199" i="1"/>
  <c r="K199" i="1"/>
  <c r="O199" i="1"/>
  <c r="L192" i="1"/>
  <c r="O192" i="1"/>
  <c r="K192" i="1"/>
  <c r="N192" i="1"/>
  <c r="J192" i="1"/>
  <c r="M192" i="1"/>
  <c r="M185" i="1"/>
  <c r="J185" i="1"/>
  <c r="N185" i="1"/>
  <c r="K185" i="1"/>
  <c r="O185" i="1"/>
  <c r="L178" i="1"/>
  <c r="O178" i="1"/>
  <c r="K178" i="1"/>
  <c r="N178" i="1"/>
  <c r="J178" i="1"/>
  <c r="M178" i="1"/>
  <c r="L171" i="1"/>
  <c r="O171" i="1"/>
  <c r="K171" i="1"/>
  <c r="N171" i="1"/>
  <c r="J171" i="1"/>
  <c r="M171" i="1"/>
  <c r="L164" i="1"/>
  <c r="O164" i="1"/>
  <c r="K164" i="1"/>
  <c r="N164" i="1"/>
  <c r="J164" i="1"/>
  <c r="M164" i="1"/>
  <c r="L157" i="1"/>
  <c r="O157" i="1"/>
  <c r="K157" i="1"/>
  <c r="N157" i="1"/>
  <c r="J157" i="1"/>
  <c r="M157" i="1"/>
  <c r="M150" i="1"/>
  <c r="J150" i="1"/>
  <c r="N150" i="1"/>
  <c r="K150" i="1"/>
  <c r="O150" i="1"/>
  <c r="O143" i="1"/>
  <c r="K143" i="1"/>
  <c r="N143" i="1"/>
  <c r="J143" i="1"/>
  <c r="M143" i="1"/>
  <c r="L143" i="1"/>
  <c r="L136" i="1"/>
  <c r="O136" i="1"/>
  <c r="K136" i="1"/>
  <c r="N136" i="1"/>
  <c r="J136" i="1"/>
  <c r="M136" i="1"/>
  <c r="L129" i="1"/>
  <c r="O129" i="1"/>
  <c r="K129" i="1"/>
  <c r="N129" i="1"/>
  <c r="J129" i="1"/>
  <c r="M129" i="1"/>
  <c r="L122" i="1"/>
  <c r="O122" i="1"/>
  <c r="N122" i="1"/>
  <c r="J122" i="1"/>
  <c r="M122" i="1"/>
  <c r="K122" i="1"/>
  <c r="M115" i="1"/>
  <c r="J115" i="1"/>
  <c r="N115" i="1"/>
  <c r="K115" i="1"/>
  <c r="O115" i="1"/>
  <c r="J108" i="1"/>
  <c r="N108" i="1"/>
  <c r="K108" i="1"/>
  <c r="O108" i="1"/>
  <c r="M108" i="1"/>
  <c r="O101" i="1"/>
  <c r="K101" i="1"/>
  <c r="N101" i="1"/>
  <c r="J101" i="1"/>
  <c r="M101" i="1"/>
  <c r="L101" i="1"/>
  <c r="L94" i="1"/>
  <c r="O94" i="1"/>
  <c r="N94" i="1"/>
  <c r="J94" i="1"/>
  <c r="M94" i="1"/>
  <c r="K94" i="1"/>
  <c r="L87" i="1"/>
  <c r="O87" i="1"/>
  <c r="K87" i="1"/>
  <c r="N87" i="1"/>
  <c r="J87" i="1"/>
  <c r="M87" i="1"/>
  <c r="L80" i="1"/>
  <c r="O80" i="1"/>
  <c r="K80" i="1"/>
  <c r="N80" i="1"/>
  <c r="J80" i="1"/>
  <c r="M80" i="1"/>
  <c r="O73" i="1"/>
  <c r="K73" i="1"/>
  <c r="N73" i="1"/>
  <c r="J73" i="1"/>
  <c r="M73" i="1"/>
  <c r="L73" i="1"/>
  <c r="M66" i="1"/>
  <c r="J66" i="1"/>
  <c r="N66" i="1"/>
  <c r="K66" i="1"/>
  <c r="O66" i="1"/>
  <c r="L59" i="1"/>
  <c r="O59" i="1"/>
  <c r="K59" i="1"/>
  <c r="N59" i="1"/>
  <c r="J59" i="1"/>
  <c r="M59" i="1"/>
  <c r="O52" i="1"/>
  <c r="K52" i="1"/>
  <c r="N52" i="1"/>
  <c r="J52" i="1"/>
  <c r="M52" i="1"/>
  <c r="L52" i="1"/>
  <c r="N24" i="1"/>
  <c r="J17" i="1"/>
  <c r="K24" i="1"/>
  <c r="K31" i="1"/>
  <c r="L24" i="1"/>
  <c r="N31" i="1"/>
  <c r="J31" i="1"/>
  <c r="O24" i="1"/>
  <c r="J24" i="1"/>
  <c r="M24" i="1"/>
  <c r="J38" i="1"/>
  <c r="O38" i="1"/>
  <c r="N38" i="1"/>
  <c r="M38" i="1"/>
  <c r="L38" i="1"/>
  <c r="L10" i="1"/>
  <c r="N10" i="1"/>
  <c r="K10" i="1"/>
  <c r="O10" i="1"/>
  <c r="J10" i="1"/>
  <c r="M10" i="1"/>
  <c r="C19" i="8"/>
  <c r="C43" i="8"/>
  <c r="C47" i="8"/>
  <c r="K35" i="8"/>
  <c r="C16" i="8"/>
  <c r="A16" i="8"/>
  <c r="C36" i="8"/>
  <c r="C42" i="8"/>
  <c r="C46" i="8"/>
  <c r="K34" i="8"/>
  <c r="C34" i="8"/>
  <c r="D41" i="8"/>
  <c r="D45" i="8"/>
  <c r="L33" i="8"/>
  <c r="D43" i="8"/>
  <c r="D47" i="8"/>
  <c r="L35" i="8"/>
  <c r="C41" i="8"/>
  <c r="C45" i="8"/>
  <c r="K33" i="8"/>
  <c r="C18" i="8"/>
  <c r="D20" i="8"/>
  <c r="J26" i="8"/>
  <c r="D42" i="8"/>
  <c r="D46" i="8"/>
  <c r="L34" i="8"/>
  <c r="C26" i="8"/>
  <c r="C27" i="8"/>
  <c r="A19" i="8"/>
  <c r="J29" i="8"/>
  <c r="L26" i="8"/>
  <c r="E29" i="8"/>
  <c r="E37" i="8"/>
  <c r="E43" i="8"/>
  <c r="E47" i="8"/>
  <c r="M35" i="8"/>
  <c r="L29" i="8"/>
  <c r="E42" i="8"/>
  <c r="E46" i="8"/>
  <c r="M34" i="8"/>
  <c r="E34" i="8"/>
  <c r="F42" i="8"/>
  <c r="F46" i="8"/>
  <c r="N34" i="8"/>
  <c r="E36" i="8"/>
  <c r="E26" i="8"/>
  <c r="L27" i="8"/>
  <c r="F41" i="8"/>
  <c r="F45" i="8"/>
  <c r="N33" i="8"/>
  <c r="E35" i="8"/>
  <c r="E41" i="8"/>
  <c r="E45" i="8"/>
  <c r="M33" i="8"/>
  <c r="E27" i="8"/>
  <c r="L28" i="8"/>
  <c r="E28" i="8"/>
  <c r="F43" i="8"/>
  <c r="F47" i="8"/>
  <c r="N35" i="8"/>
  <c r="C28" i="8"/>
  <c r="C35" i="8"/>
  <c r="C37" i="8"/>
  <c r="J27" i="8"/>
  <c r="C29" i="8"/>
  <c r="H26" i="8"/>
  <c r="A27" i="8"/>
  <c r="B43" i="8"/>
  <c r="B47" i="8"/>
  <c r="J35" i="8"/>
  <c r="B42" i="8"/>
  <c r="B46" i="8"/>
  <c r="J34" i="8"/>
  <c r="A36" i="8"/>
  <c r="H29" i="8"/>
  <c r="A26" i="8"/>
  <c r="A42" i="8"/>
  <c r="A46" i="8"/>
  <c r="I34" i="8"/>
  <c r="A35" i="8"/>
  <c r="B41" i="8"/>
  <c r="B45" i="8"/>
  <c r="J33" i="8"/>
  <c r="Q32" i="8"/>
  <c r="S32" i="8"/>
  <c r="H28" i="8"/>
  <c r="A41" i="8"/>
  <c r="A45" i="8"/>
  <c r="I33" i="8"/>
  <c r="A37" i="8"/>
  <c r="A43" i="8"/>
  <c r="A47" i="8"/>
  <c r="I35" i="8"/>
  <c r="P34" i="8"/>
  <c r="R34" i="8"/>
  <c r="H27" i="8"/>
  <c r="A28" i="8"/>
  <c r="A34" i="8"/>
  <c r="A29" i="8"/>
  <c r="A20" i="8"/>
  <c r="A18" i="8"/>
  <c r="A17" i="8"/>
  <c r="B20" i="8"/>
  <c r="L17" i="1"/>
  <c r="G12" i="7"/>
  <c r="G11" i="7"/>
  <c r="C16" i="2"/>
  <c r="M38" i="4"/>
  <c r="L38" i="4"/>
  <c r="J45" i="4"/>
  <c r="J38" i="4"/>
  <c r="L45" i="4"/>
  <c r="K38" i="4"/>
  <c r="O31" i="1"/>
  <c r="O17" i="1"/>
  <c r="L31" i="1"/>
  <c r="N17" i="1"/>
  <c r="K17" i="1"/>
  <c r="P32" i="8"/>
  <c r="R32" i="8"/>
  <c r="P33" i="8"/>
  <c r="R33" i="8"/>
  <c r="Q34" i="8"/>
  <c r="S34" i="8"/>
  <c r="Q33" i="8"/>
  <c r="S33" i="8"/>
</calcChain>
</file>

<file path=xl/sharedStrings.xml><?xml version="1.0" encoding="utf-8"?>
<sst xmlns="http://schemas.openxmlformats.org/spreadsheetml/2006/main" count="228" uniqueCount="118">
  <si>
    <t>Date</t>
  </si>
  <si>
    <t>Weight</t>
  </si>
  <si>
    <t>Average Weight</t>
  </si>
  <si>
    <t>Percent Difference</t>
  </si>
  <si>
    <t>Protocol</t>
  </si>
  <si>
    <t>INPUTS</t>
  </si>
  <si>
    <t>Starting Date</t>
  </si>
  <si>
    <t>Male of Female</t>
  </si>
  <si>
    <t>Bulking or Cutting</t>
  </si>
  <si>
    <t>Starting Calories</t>
  </si>
  <si>
    <t>Male</t>
  </si>
  <si>
    <t>Female</t>
  </si>
  <si>
    <t>Bulking</t>
  </si>
  <si>
    <t>Cutting</t>
  </si>
  <si>
    <t>Macronutrient Breakdown</t>
  </si>
  <si>
    <t>Bodyfat</t>
  </si>
  <si>
    <t>Input Starting Calories</t>
  </si>
  <si>
    <t>Protein</t>
  </si>
  <si>
    <t>High Carb Day</t>
  </si>
  <si>
    <t>Low Carb Day</t>
  </si>
  <si>
    <t>Carbs</t>
  </si>
  <si>
    <t>Fat</t>
  </si>
  <si>
    <t>Fibre</t>
  </si>
  <si>
    <t>New Calories</t>
  </si>
  <si>
    <t>Calories Added</t>
  </si>
  <si>
    <t>Notes</t>
  </si>
  <si>
    <t>Any cell highlighted yellow</t>
  </si>
  <si>
    <t>is your responsibility to track</t>
  </si>
  <si>
    <t>Hide hips on tracker if male</t>
  </si>
  <si>
    <t>Bulk between 10-15% if male, 18-23% if female</t>
  </si>
  <si>
    <t>Height (cm)</t>
  </si>
  <si>
    <t>Waist (cm)</t>
  </si>
  <si>
    <t>Neck (cm)</t>
  </si>
  <si>
    <t>Starting Weight (lbs)</t>
  </si>
  <si>
    <t>Hips* (cm)</t>
  </si>
  <si>
    <t>Current Calories</t>
  </si>
  <si>
    <t>Squat</t>
  </si>
  <si>
    <t>Bench</t>
  </si>
  <si>
    <t>Deadlift</t>
  </si>
  <si>
    <t>Opener</t>
  </si>
  <si>
    <t>Friday</t>
  </si>
  <si>
    <t>Sunday</t>
  </si>
  <si>
    <t>e1RM</t>
  </si>
  <si>
    <t>Tuesday</t>
  </si>
  <si>
    <t>Wednesday</t>
  </si>
  <si>
    <t>Monday</t>
  </si>
  <si>
    <t>Thursday</t>
  </si>
  <si>
    <t>Saturday</t>
  </si>
  <si>
    <t>Openers</t>
  </si>
  <si>
    <t>Meet day</t>
  </si>
  <si>
    <t>Warmups</t>
  </si>
  <si>
    <t>Volume</t>
  </si>
  <si>
    <t>GPP</t>
  </si>
  <si>
    <t>Accessory</t>
  </si>
  <si>
    <t>Heavy</t>
  </si>
  <si>
    <t>Water</t>
  </si>
  <si>
    <t>Sodium</t>
  </si>
  <si>
    <t>Glycogen</t>
  </si>
  <si>
    <t>Food Weight</t>
  </si>
  <si>
    <t>Supplements</t>
  </si>
  <si>
    <t>1 gal</t>
  </si>
  <si>
    <t>2 gal</t>
  </si>
  <si>
    <t>0.5 gal</t>
  </si>
  <si>
    <t>Big Three</t>
  </si>
  <si>
    <t>Normal</t>
  </si>
  <si>
    <t>Post weigh in</t>
  </si>
  <si>
    <t>Immediately drink 16oz coconut water plus 16 oz water with 2 servings Xtend/BCAAs</t>
  </si>
  <si>
    <t>5g ADDED</t>
  </si>
  <si>
    <t>1g DON’T ADD</t>
  </si>
  <si>
    <t>High carb day</t>
  </si>
  <si>
    <t>Minimal</t>
  </si>
  <si>
    <t>1 Liquid Meal Before Bed</t>
  </si>
  <si>
    <t>2 Liquid Meal Before Bed</t>
  </si>
  <si>
    <t>All Liquid Diet</t>
  </si>
  <si>
    <t>Caffeine, Water Pill</t>
  </si>
  <si>
    <t>Caffeine, Magnesium Citrate, Water Pill</t>
  </si>
  <si>
    <t>n/a</t>
  </si>
  <si>
    <t>t ~100g of carbs every 2 hours. Keep fat to ~10g per meal initially because it will blunt the rate of digestion and thus absorption. You’re going to have to keep the fat low until towards the end of the meet. You need to maximize the rate of glycogen resynthesis.</t>
  </si>
  <si>
    <t>0.5-1g sodium each meal</t>
  </si>
  <si>
    <t>Workout</t>
  </si>
  <si>
    <t>Days Out</t>
  </si>
  <si>
    <t>Day</t>
  </si>
  <si>
    <t>Exercise</t>
  </si>
  <si>
    <t>Weeks out</t>
  </si>
  <si>
    <t>5 days out</t>
  </si>
  <si>
    <t>Barx10</t>
  </si>
  <si>
    <t>Note: If the 80%x1 feels easier than normal, go for the higher number</t>
  </si>
  <si>
    <t>Second</t>
  </si>
  <si>
    <t>Third</t>
  </si>
  <si>
    <t>3 days out</t>
  </si>
  <si>
    <t>New e1RM</t>
  </si>
  <si>
    <t>Meet Warmups</t>
  </si>
  <si>
    <t>% drop</t>
  </si>
  <si>
    <t>Meet Attempts</t>
  </si>
  <si>
    <t>Note: Adjust accordingly after opener test</t>
  </si>
  <si>
    <t>Meet Attempts (Calculation purposes)</t>
  </si>
  <si>
    <t>LBM</t>
  </si>
  <si>
    <t>Water Pill</t>
  </si>
  <si>
    <t>Days out</t>
  </si>
  <si>
    <t>Weeks</t>
  </si>
  <si>
    <t>Total</t>
  </si>
  <si>
    <t>Wilks</t>
  </si>
  <si>
    <t>Bodyweight:</t>
  </si>
  <si>
    <t>kg</t>
  </si>
  <si>
    <t>collar</t>
  </si>
  <si>
    <t>Squats</t>
  </si>
  <si>
    <t>Start of Week 2 EC</t>
  </si>
  <si>
    <t>Week 3</t>
  </si>
  <si>
    <t>Week 4</t>
  </si>
  <si>
    <t>Week 5</t>
  </si>
  <si>
    <t>Week 6</t>
  </si>
  <si>
    <t>Week 7</t>
  </si>
  <si>
    <t>Week 8</t>
  </si>
  <si>
    <t>STOP EC, 4 weeks outs</t>
  </si>
  <si>
    <t>3 weeks out</t>
  </si>
  <si>
    <t>2 weeks out</t>
  </si>
  <si>
    <t>1 week out</t>
  </si>
  <si>
    <t>Provincials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</si>
</sst>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F800]dddd\,\ mmmm\ dd\,\ yyyy"/>
    <numFmt numFmtId="165" formatCode="0.0"/>
    <numFmt numFmtId="166" formatCode="0.00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
      <u/>
      <sz val="11"/>
      <color theme="10"/>
      <name val="Calibri"/>
      <family val="2"/>
      <scheme val="minor"/>
    </font>
    <font>
      <u/>
      <sz val="11"/>
      <color theme="11"/>
      <name val="Calibri"/>
      <family val="2"/>
      <scheme val="minor"/>
    </font>
    <font>
      <sz val="14"/>
      <color theme="1"/>
      <name val="Calibri"/>
      <family val="2"/>
      <scheme val="minor"/>
    </font>
    <font>
      <sz val="20"/>
      <color theme="1"/>
      <name val="Calibri"/>
      <family val="2"/>
      <scheme val="minor"/>
    </font>
    <font>
      <b/>
      <sz val="14"/>
      <color theme="0"/>
      <name val="Calibri"/>
      <family val="2"/>
      <scheme val="minor"/>
    </font>
    <font>
      <b/>
      <sz val="14"/>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0070C0"/>
        <bgColor indexed="64"/>
      </patternFill>
    </fill>
    <fill>
      <patternFill patternType="solid">
        <fgColor theme="0" tint="-0.249977111117893"/>
        <bgColor indexed="64"/>
      </patternFill>
    </fill>
    <fill>
      <patternFill patternType="solid">
        <fgColor theme="0" tint="-4.9989318521683403E-2"/>
        <bgColor indexed="64"/>
      </patternFill>
    </fill>
  </fills>
  <borders count="5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3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06">
    <xf numFmtId="0" fontId="0" fillId="0" borderId="0" xfId="0"/>
    <xf numFmtId="164" fontId="0" fillId="0" borderId="0" xfId="0" applyNumberFormat="1"/>
    <xf numFmtId="2" fontId="0" fillId="0" borderId="0" xfId="0" applyNumberFormat="1"/>
    <xf numFmtId="9" fontId="0" fillId="0" borderId="0" xfId="1" applyFont="1"/>
    <xf numFmtId="165" fontId="0" fillId="0" borderId="0" xfId="0" applyNumberFormat="1"/>
    <xf numFmtId="0" fontId="0" fillId="0" borderId="1" xfId="0" applyBorder="1"/>
    <xf numFmtId="0" fontId="0" fillId="0" borderId="0" xfId="0" applyFill="1" applyBorder="1"/>
    <xf numFmtId="164" fontId="0" fillId="0" borderId="1" xfId="0" applyNumberFormat="1" applyBorder="1"/>
    <xf numFmtId="165" fontId="0" fillId="2" borderId="1" xfId="0" applyNumberFormat="1" applyFill="1" applyBorder="1"/>
    <xf numFmtId="2" fontId="0" fillId="2" borderId="1" xfId="0" applyNumberFormat="1" applyFill="1" applyBorder="1"/>
    <xf numFmtId="0" fontId="0" fillId="2" borderId="1" xfId="0" applyFill="1" applyBorder="1"/>
    <xf numFmtId="165" fontId="0" fillId="0" borderId="1" xfId="0" applyNumberFormat="1" applyBorder="1"/>
    <xf numFmtId="9" fontId="0" fillId="0" borderId="1" xfId="1" applyNumberFormat="1" applyFont="1" applyBorder="1"/>
    <xf numFmtId="9" fontId="0" fillId="0" borderId="1" xfId="1" applyFont="1" applyBorder="1" applyAlignment="1">
      <alignment horizontal="center" vertical="center"/>
    </xf>
    <xf numFmtId="164" fontId="0" fillId="0" borderId="4" xfId="0" applyNumberFormat="1" applyBorder="1"/>
    <xf numFmtId="165" fontId="0" fillId="2" borderId="4" xfId="0" applyNumberFormat="1" applyFill="1" applyBorder="1"/>
    <xf numFmtId="2" fontId="0" fillId="2" borderId="4" xfId="0" applyNumberFormat="1" applyFill="1" applyBorder="1"/>
    <xf numFmtId="0" fontId="0" fillId="2" borderId="4" xfId="0" applyFill="1" applyBorder="1"/>
    <xf numFmtId="0" fontId="0" fillId="0" borderId="13" xfId="0" applyBorder="1"/>
    <xf numFmtId="0" fontId="0" fillId="2" borderId="14" xfId="0" applyFill="1" applyBorder="1"/>
    <xf numFmtId="0" fontId="0" fillId="4" borderId="14" xfId="0" applyFill="1" applyBorder="1"/>
    <xf numFmtId="2" fontId="0" fillId="4" borderId="1" xfId="0" applyNumberFormat="1" applyFill="1" applyBorder="1"/>
    <xf numFmtId="0" fontId="0" fillId="4" borderId="1" xfId="0" applyFill="1" applyBorder="1" applyAlignment="1">
      <alignment horizontal="right"/>
    </xf>
    <xf numFmtId="14" fontId="0" fillId="4" borderId="1" xfId="0" applyNumberFormat="1" applyFill="1" applyBorder="1"/>
    <xf numFmtId="0" fontId="0" fillId="4" borderId="3" xfId="0" applyFill="1" applyBorder="1"/>
    <xf numFmtId="0" fontId="0" fillId="4" borderId="0" xfId="0" applyFill="1"/>
    <xf numFmtId="165" fontId="0" fillId="4" borderId="4" xfId="0" applyNumberFormat="1" applyFill="1" applyBorder="1" applyProtection="1"/>
    <xf numFmtId="165" fontId="0" fillId="4" borderId="1" xfId="0" applyNumberFormat="1" applyFill="1" applyBorder="1"/>
    <xf numFmtId="165" fontId="0" fillId="4" borderId="4" xfId="0" applyNumberFormat="1" applyFill="1" applyBorder="1"/>
    <xf numFmtId="165" fontId="0" fillId="0" borderId="4" xfId="0" applyNumberFormat="1" applyFill="1" applyBorder="1"/>
    <xf numFmtId="166" fontId="0" fillId="0" borderId="1" xfId="1" applyNumberFormat="1" applyFont="1" applyBorder="1"/>
    <xf numFmtId="166" fontId="0" fillId="2" borderId="4" xfId="0" applyNumberFormat="1" applyFill="1" applyBorder="1"/>
    <xf numFmtId="166" fontId="0" fillId="2" borderId="1" xfId="0" applyNumberFormat="1" applyFill="1" applyBorder="1"/>
    <xf numFmtId="166" fontId="0" fillId="2" borderId="1" xfId="1" applyNumberFormat="1" applyFont="1" applyFill="1" applyBorder="1"/>
    <xf numFmtId="166" fontId="0" fillId="0" borderId="0" xfId="1" applyNumberFormat="1" applyFont="1"/>
    <xf numFmtId="0" fontId="0" fillId="0" borderId="1" xfId="0" applyFill="1" applyBorder="1"/>
    <xf numFmtId="0" fontId="0" fillId="0" borderId="4" xfId="0" applyFill="1" applyBorder="1"/>
    <xf numFmtId="0" fontId="0" fillId="0" borderId="4" xfId="0" applyBorder="1"/>
    <xf numFmtId="0" fontId="0" fillId="0" borderId="17" xfId="0" applyFill="1" applyBorder="1"/>
    <xf numFmtId="0" fontId="0" fillId="0" borderId="18" xfId="0" applyBorder="1" applyAlignment="1">
      <alignment horizontal="center"/>
    </xf>
    <xf numFmtId="0" fontId="0" fillId="0" borderId="7" xfId="0" applyBorder="1"/>
    <xf numFmtId="9" fontId="0" fillId="0" borderId="1" xfId="1" applyFont="1" applyBorder="1"/>
    <xf numFmtId="0" fontId="0" fillId="4" borderId="1" xfId="0" applyFill="1" applyBorder="1"/>
    <xf numFmtId="0" fontId="0" fillId="4" borderId="29" xfId="0" applyFill="1" applyBorder="1"/>
    <xf numFmtId="1" fontId="0" fillId="5" borderId="1" xfId="1" applyNumberFormat="1" applyFont="1" applyFill="1" applyBorder="1"/>
    <xf numFmtId="9" fontId="0" fillId="5" borderId="1" xfId="1" applyFont="1" applyFill="1" applyBorder="1"/>
    <xf numFmtId="9" fontId="0" fillId="6" borderId="1" xfId="1" applyFont="1" applyFill="1" applyBorder="1"/>
    <xf numFmtId="9" fontId="0" fillId="6" borderId="10" xfId="1" applyFont="1" applyFill="1" applyBorder="1"/>
    <xf numFmtId="1" fontId="0" fillId="6" borderId="1" xfId="1" applyNumberFormat="1" applyFont="1" applyFill="1" applyBorder="1"/>
    <xf numFmtId="1" fontId="0" fillId="6" borderId="10" xfId="1" applyNumberFormat="1" applyFont="1" applyFill="1" applyBorder="1"/>
    <xf numFmtId="1" fontId="0" fillId="0" borderId="1" xfId="1" applyNumberFormat="1" applyFont="1" applyFill="1" applyBorder="1"/>
    <xf numFmtId="1" fontId="0" fillId="0" borderId="10" xfId="1" applyNumberFormat="1" applyFont="1" applyFill="1" applyBorder="1"/>
    <xf numFmtId="0" fontId="0" fillId="6" borderId="1" xfId="0" applyFill="1" applyBorder="1"/>
    <xf numFmtId="164" fontId="0" fillId="6" borderId="1" xfId="0" applyNumberFormat="1" applyFill="1" applyBorder="1"/>
    <xf numFmtId="0" fontId="0" fillId="3" borderId="1" xfId="0" applyFill="1" applyBorder="1"/>
    <xf numFmtId="164" fontId="0" fillId="3" borderId="1" xfId="0" applyNumberFormat="1" applyFill="1" applyBorder="1"/>
    <xf numFmtId="164" fontId="0" fillId="4" borderId="1" xfId="0" applyNumberFormat="1" applyFill="1" applyBorder="1"/>
    <xf numFmtId="0" fontId="2" fillId="3" borderId="1" xfId="0" applyFont="1" applyFill="1" applyBorder="1"/>
    <xf numFmtId="0" fontId="2" fillId="4" borderId="1" xfId="0" applyFont="1" applyFill="1" applyBorder="1"/>
    <xf numFmtId="0" fontId="2" fillId="6" borderId="1" xfId="0" applyFont="1" applyFill="1" applyBorder="1"/>
    <xf numFmtId="0" fontId="0" fillId="3" borderId="28" xfId="0" applyFill="1" applyBorder="1"/>
    <xf numFmtId="0" fontId="2" fillId="0" borderId="17" xfId="0" applyFont="1" applyBorder="1"/>
    <xf numFmtId="0" fontId="2" fillId="0" borderId="18" xfId="0" applyFont="1" applyBorder="1"/>
    <xf numFmtId="0" fontId="2" fillId="3" borderId="18" xfId="0" applyFont="1" applyFill="1" applyBorder="1"/>
    <xf numFmtId="0" fontId="2" fillId="3" borderId="19" xfId="0" applyFont="1" applyFill="1" applyBorder="1"/>
    <xf numFmtId="9" fontId="0" fillId="4" borderId="41" xfId="1" applyFont="1" applyFill="1" applyBorder="1"/>
    <xf numFmtId="9" fontId="0" fillId="4" borderId="42" xfId="1" applyFont="1" applyFill="1" applyBorder="1"/>
    <xf numFmtId="9" fontId="0" fillId="4" borderId="43" xfId="1" applyFont="1" applyFill="1" applyBorder="1"/>
    <xf numFmtId="0" fontId="0" fillId="3" borderId="22" xfId="0" applyFill="1" applyBorder="1"/>
    <xf numFmtId="0" fontId="0" fillId="3" borderId="23" xfId="0" applyFill="1" applyBorder="1"/>
    <xf numFmtId="0" fontId="0" fillId="4" borderId="39" xfId="0" applyFill="1" applyBorder="1"/>
    <xf numFmtId="0" fontId="0" fillId="3" borderId="35" xfId="0" applyFill="1" applyBorder="1" applyAlignment="1">
      <alignment horizontal="center"/>
    </xf>
    <xf numFmtId="0" fontId="0" fillId="3" borderId="43" xfId="0" applyFill="1" applyBorder="1"/>
    <xf numFmtId="0" fontId="0" fillId="3" borderId="41" xfId="0" applyFill="1" applyBorder="1"/>
    <xf numFmtId="0" fontId="0" fillId="3" borderId="42" xfId="0" applyFill="1" applyBorder="1"/>
    <xf numFmtId="0" fontId="0" fillId="3" borderId="0" xfId="0" applyFill="1"/>
    <xf numFmtId="0" fontId="0" fillId="3" borderId="37" xfId="0" applyFill="1" applyBorder="1"/>
    <xf numFmtId="0" fontId="0" fillId="3" borderId="30" xfId="0" applyFill="1" applyBorder="1"/>
    <xf numFmtId="0" fontId="0" fillId="3" borderId="32" xfId="0" applyFill="1" applyBorder="1"/>
    <xf numFmtId="0" fontId="0" fillId="3" borderId="24" xfId="0" applyFill="1" applyBorder="1" applyAlignment="1">
      <alignment horizontal="left"/>
    </xf>
    <xf numFmtId="0" fontId="0" fillId="3" borderId="24" xfId="0" applyFill="1" applyBorder="1"/>
    <xf numFmtId="0" fontId="0" fillId="3" borderId="30" xfId="0" applyFill="1" applyBorder="1" applyAlignment="1"/>
    <xf numFmtId="0" fontId="0" fillId="3" borderId="32" xfId="0" applyFill="1" applyBorder="1" applyAlignment="1"/>
    <xf numFmtId="0" fontId="0" fillId="3" borderId="29" xfId="0" applyFill="1" applyBorder="1" applyAlignment="1"/>
    <xf numFmtId="0" fontId="0" fillId="3" borderId="29" xfId="0" applyFill="1" applyBorder="1"/>
    <xf numFmtId="0" fontId="0" fillId="3" borderId="33" xfId="0" applyFill="1" applyBorder="1"/>
    <xf numFmtId="0" fontId="0" fillId="3" borderId="4" xfId="0" applyFill="1" applyBorder="1"/>
    <xf numFmtId="9" fontId="0" fillId="3" borderId="10" xfId="1" applyFont="1" applyFill="1" applyBorder="1"/>
    <xf numFmtId="9" fontId="0" fillId="3" borderId="1" xfId="1" applyFont="1" applyFill="1" applyBorder="1"/>
    <xf numFmtId="0" fontId="0" fillId="3" borderId="7" xfId="0" applyFill="1" applyBorder="1"/>
    <xf numFmtId="0" fontId="0" fillId="3" borderId="15" xfId="0" applyFill="1" applyBorder="1"/>
    <xf numFmtId="0" fontId="0" fillId="3" borderId="39" xfId="0" applyFill="1" applyBorder="1"/>
    <xf numFmtId="0" fontId="0" fillId="3" borderId="38" xfId="0" applyFill="1" applyBorder="1"/>
    <xf numFmtId="0" fontId="0" fillId="3" borderId="31" xfId="0" applyFill="1" applyBorder="1"/>
    <xf numFmtId="0" fontId="0" fillId="3" borderId="16" xfId="0" applyFill="1" applyBorder="1"/>
    <xf numFmtId="0" fontId="0" fillId="3" borderId="0" xfId="0" applyFill="1" applyBorder="1" applyAlignment="1">
      <alignment horizontal="center"/>
    </xf>
    <xf numFmtId="0" fontId="0" fillId="3" borderId="0" xfId="0" applyFill="1" applyBorder="1"/>
    <xf numFmtId="0" fontId="0" fillId="3" borderId="25" xfId="0" applyFill="1" applyBorder="1" applyAlignment="1">
      <alignment horizontal="left"/>
    </xf>
    <xf numFmtId="0" fontId="0" fillId="3" borderId="25" xfId="0" applyFill="1" applyBorder="1"/>
    <xf numFmtId="0" fontId="0" fillId="3" borderId="0" xfId="0" applyFill="1" applyBorder="1" applyAlignment="1"/>
    <xf numFmtId="0" fontId="0" fillId="3" borderId="14" xfId="0" applyFill="1" applyBorder="1"/>
    <xf numFmtId="0" fontId="0" fillId="3" borderId="40" xfId="0" applyFill="1" applyBorder="1"/>
    <xf numFmtId="0" fontId="0" fillId="3" borderId="34" xfId="0" applyFill="1" applyBorder="1"/>
    <xf numFmtId="0" fontId="0" fillId="3" borderId="31" xfId="0" applyFill="1" applyBorder="1" applyAlignment="1"/>
    <xf numFmtId="0" fontId="0" fillId="3" borderId="16" xfId="0" applyFill="1" applyBorder="1" applyAlignment="1"/>
    <xf numFmtId="0" fontId="0" fillId="3" borderId="15" xfId="0" applyFill="1" applyBorder="1" applyAlignment="1"/>
    <xf numFmtId="0" fontId="2" fillId="3" borderId="35" xfId="0" applyFont="1" applyFill="1" applyBorder="1"/>
    <xf numFmtId="0" fontId="0" fillId="3" borderId="48" xfId="0" applyFill="1" applyBorder="1"/>
    <xf numFmtId="0" fontId="0" fillId="3" borderId="49" xfId="0" applyFill="1" applyBorder="1"/>
    <xf numFmtId="9" fontId="0" fillId="3" borderId="31" xfId="1" applyFont="1" applyFill="1" applyBorder="1"/>
    <xf numFmtId="9" fontId="0" fillId="3" borderId="16" xfId="1" applyFont="1" applyFill="1" applyBorder="1"/>
    <xf numFmtId="1" fontId="0" fillId="3" borderId="1" xfId="1" applyNumberFormat="1" applyFont="1" applyFill="1" applyBorder="1"/>
    <xf numFmtId="1" fontId="0" fillId="3" borderId="31" xfId="1" applyNumberFormat="1" applyFont="1" applyFill="1" applyBorder="1"/>
    <xf numFmtId="1" fontId="0" fillId="3" borderId="10" xfId="1" applyNumberFormat="1" applyFont="1" applyFill="1" applyBorder="1"/>
    <xf numFmtId="1" fontId="0" fillId="3" borderId="16" xfId="1" applyNumberFormat="1" applyFont="1" applyFill="1" applyBorder="1"/>
    <xf numFmtId="0" fontId="0" fillId="3" borderId="19" xfId="0" applyFill="1" applyBorder="1" applyAlignment="1">
      <alignment horizontal="center"/>
    </xf>
    <xf numFmtId="0" fontId="0" fillId="3" borderId="0" xfId="0" applyFill="1" applyAlignment="1"/>
    <xf numFmtId="0" fontId="2" fillId="3" borderId="0" xfId="0" applyFont="1" applyFill="1"/>
    <xf numFmtId="164" fontId="0" fillId="3" borderId="0" xfId="0" applyNumberFormat="1" applyFill="1"/>
    <xf numFmtId="165" fontId="0" fillId="3" borderId="0" xfId="0" applyNumberFormat="1" applyFill="1"/>
    <xf numFmtId="2" fontId="0" fillId="3" borderId="0" xfId="0" applyNumberFormat="1" applyFill="1"/>
    <xf numFmtId="9" fontId="0" fillId="3" borderId="0" xfId="1" applyFont="1" applyFill="1"/>
    <xf numFmtId="9" fontId="0" fillId="3" borderId="0" xfId="1" applyFont="1" applyFill="1" applyBorder="1"/>
    <xf numFmtId="0" fontId="0" fillId="3" borderId="50" xfId="0" applyFill="1" applyBorder="1"/>
    <xf numFmtId="0" fontId="0" fillId="3" borderId="25" xfId="0" applyFill="1" applyBorder="1" applyAlignment="1"/>
    <xf numFmtId="9" fontId="0" fillId="3" borderId="0" xfId="0" applyNumberFormat="1" applyFill="1"/>
    <xf numFmtId="0" fontId="2" fillId="0" borderId="4" xfId="0" applyFont="1" applyFill="1" applyBorder="1"/>
    <xf numFmtId="0" fontId="2" fillId="0" borderId="1" xfId="0" applyFont="1" applyFill="1" applyBorder="1"/>
    <xf numFmtId="164" fontId="0" fillId="7" borderId="1" xfId="0" applyNumberFormat="1" applyFill="1" applyBorder="1"/>
    <xf numFmtId="1" fontId="0" fillId="0" borderId="0" xfId="0" applyNumberFormat="1" applyFill="1"/>
    <xf numFmtId="164" fontId="0" fillId="4" borderId="0" xfId="0" applyNumberFormat="1" applyFill="1"/>
    <xf numFmtId="0" fontId="0" fillId="3" borderId="21" xfId="0" applyFill="1" applyBorder="1" applyAlignment="1">
      <alignment horizontal="center"/>
    </xf>
    <xf numFmtId="0" fontId="9" fillId="5" borderId="0" xfId="0" applyFont="1" applyFill="1" applyAlignment="1">
      <alignment horizontal="center" vertical="center"/>
    </xf>
    <xf numFmtId="0" fontId="9" fillId="8" borderId="0" xfId="0" applyFont="1" applyFill="1" applyAlignment="1">
      <alignment horizontal="center" vertical="center"/>
    </xf>
    <xf numFmtId="0" fontId="10" fillId="4" borderId="0" xfId="0" applyFont="1" applyFill="1" applyAlignment="1">
      <alignment horizontal="center" vertical="center"/>
    </xf>
    <xf numFmtId="0" fontId="9" fillId="7" borderId="0" xfId="0" applyFont="1" applyFill="1" applyAlignment="1">
      <alignment horizontal="center" vertical="center"/>
    </xf>
    <xf numFmtId="0" fontId="10" fillId="3" borderId="0" xfId="0" applyFont="1" applyFill="1" applyAlignment="1">
      <alignment horizontal="center" vertical="center"/>
    </xf>
    <xf numFmtId="0" fontId="10" fillId="9" borderId="0" xfId="0" applyFont="1" applyFill="1" applyAlignment="1">
      <alignment horizontal="center" vertical="center"/>
    </xf>
    <xf numFmtId="0" fontId="10" fillId="10" borderId="0" xfId="0" applyFont="1" applyFill="1" applyAlignment="1">
      <alignment horizontal="center" vertical="center"/>
    </xf>
    <xf numFmtId="0" fontId="10" fillId="0" borderId="0" xfId="0" applyFont="1" applyAlignment="1">
      <alignment horizontal="center" vertical="center"/>
    </xf>
    <xf numFmtId="0" fontId="9" fillId="5" borderId="0" xfId="0" applyFont="1" applyFill="1" applyBorder="1" applyAlignment="1">
      <alignment horizontal="center" vertical="center"/>
    </xf>
    <xf numFmtId="0" fontId="9" fillId="8" borderId="0" xfId="0" applyFont="1" applyFill="1" applyBorder="1" applyAlignment="1">
      <alignment horizontal="center" vertical="center"/>
    </xf>
    <xf numFmtId="0" fontId="10" fillId="4" borderId="0" xfId="0" applyFont="1" applyFill="1" applyBorder="1" applyAlignment="1">
      <alignment horizontal="center" vertical="center"/>
    </xf>
    <xf numFmtId="0" fontId="9" fillId="7" borderId="0" xfId="0" applyFont="1" applyFill="1" applyBorder="1" applyAlignment="1">
      <alignment horizontal="center" vertical="center"/>
    </xf>
    <xf numFmtId="0" fontId="10" fillId="3" borderId="0" xfId="0" applyFont="1" applyFill="1" applyBorder="1" applyAlignment="1">
      <alignment horizontal="center" vertical="center"/>
    </xf>
    <xf numFmtId="0" fontId="10" fillId="9" borderId="0" xfId="0" applyFont="1" applyFill="1" applyBorder="1" applyAlignment="1">
      <alignment horizontal="center" vertical="center"/>
    </xf>
    <xf numFmtId="0" fontId="10" fillId="10" borderId="0" xfId="0" applyFont="1" applyFill="1" applyBorder="1" applyAlignment="1">
      <alignment horizontal="center" vertical="center"/>
    </xf>
    <xf numFmtId="0" fontId="10" fillId="0" borderId="23" xfId="0" applyFont="1" applyBorder="1" applyAlignment="1">
      <alignment horizontal="center" vertical="center"/>
    </xf>
    <xf numFmtId="0" fontId="9" fillId="5" borderId="50" xfId="0" applyFont="1" applyFill="1" applyBorder="1" applyAlignment="1">
      <alignment horizontal="center" vertical="center"/>
    </xf>
    <xf numFmtId="0" fontId="9" fillId="8" borderId="50" xfId="0" applyFont="1" applyFill="1" applyBorder="1" applyAlignment="1">
      <alignment horizontal="center" vertical="center"/>
    </xf>
    <xf numFmtId="0" fontId="10" fillId="4" borderId="50" xfId="0" applyFont="1" applyFill="1" applyBorder="1" applyAlignment="1">
      <alignment horizontal="center" vertical="center"/>
    </xf>
    <xf numFmtId="0" fontId="9" fillId="7" borderId="50" xfId="0" applyFont="1" applyFill="1" applyBorder="1" applyAlignment="1">
      <alignment horizontal="center" vertical="center"/>
    </xf>
    <xf numFmtId="0" fontId="10" fillId="3" borderId="50" xfId="0" applyFont="1" applyFill="1" applyBorder="1" applyAlignment="1">
      <alignment horizontal="center" vertical="center"/>
    </xf>
    <xf numFmtId="0" fontId="10" fillId="9" borderId="50" xfId="0" applyFont="1" applyFill="1" applyBorder="1" applyAlignment="1">
      <alignment horizontal="center" vertical="center"/>
    </xf>
    <xf numFmtId="0" fontId="10" fillId="10" borderId="50" xfId="0" applyFont="1" applyFill="1" applyBorder="1" applyAlignment="1">
      <alignment horizontal="center" vertical="center"/>
    </xf>
    <xf numFmtId="0" fontId="10" fillId="0" borderId="25" xfId="0" applyFont="1" applyBorder="1" applyAlignment="1">
      <alignment horizontal="center" vertical="center"/>
    </xf>
    <xf numFmtId="0" fontId="0" fillId="3" borderId="0" xfId="0" applyFill="1" applyAlignment="1">
      <alignment horizontal="center"/>
    </xf>
    <xf numFmtId="165" fontId="8" fillId="3" borderId="0" xfId="0" applyNumberFormat="1" applyFont="1" applyFill="1"/>
    <xf numFmtId="0" fontId="2" fillId="3" borderId="52" xfId="0" applyFont="1" applyFill="1" applyBorder="1"/>
    <xf numFmtId="0" fontId="0" fillId="3" borderId="51" xfId="0" applyFill="1" applyBorder="1"/>
    <xf numFmtId="0" fontId="0" fillId="3" borderId="53" xfId="0" applyFill="1" applyBorder="1"/>
    <xf numFmtId="0" fontId="0" fillId="3" borderId="54" xfId="0" applyFill="1" applyBorder="1"/>
    <xf numFmtId="0" fontId="2" fillId="3" borderId="53" xfId="0" applyFont="1" applyFill="1" applyBorder="1"/>
    <xf numFmtId="0" fontId="7" fillId="3" borderId="0" xfId="0" applyFont="1" applyFill="1" applyAlignment="1">
      <alignment vertical="center"/>
    </xf>
    <xf numFmtId="0" fontId="0" fillId="3" borderId="51" xfId="0" applyFill="1" applyBorder="1" applyAlignment="1">
      <alignment horizontal="center"/>
    </xf>
    <xf numFmtId="0" fontId="7" fillId="3" borderId="0" xfId="0" applyFont="1" applyFill="1" applyBorder="1" applyAlignment="1">
      <alignment vertical="center"/>
    </xf>
    <xf numFmtId="0" fontId="7" fillId="3" borderId="50" xfId="0" applyFont="1" applyFill="1" applyBorder="1" applyAlignment="1">
      <alignment vertical="center"/>
    </xf>
    <xf numFmtId="0" fontId="0" fillId="0" borderId="1" xfId="0"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2" fontId="0" fillId="3" borderId="6" xfId="0" applyNumberFormat="1" applyFill="1" applyBorder="1" applyAlignment="1">
      <alignment horizontal="center"/>
    </xf>
    <xf numFmtId="2" fontId="0" fillId="3" borderId="9" xfId="0" applyNumberFormat="1" applyFill="1" applyBorder="1" applyAlignment="1">
      <alignment horizontal="center"/>
    </xf>
    <xf numFmtId="165" fontId="0" fillId="3" borderId="6" xfId="0" applyNumberFormat="1" applyFill="1" applyBorder="1" applyAlignment="1">
      <alignment horizontal="center"/>
    </xf>
    <xf numFmtId="165" fontId="0" fillId="3" borderId="9" xfId="0" applyNumberFormat="1" applyFill="1" applyBorder="1" applyAlignment="1">
      <alignment horizontal="center"/>
    </xf>
    <xf numFmtId="164" fontId="0" fillId="3" borderId="5" xfId="0" applyNumberFormat="1" applyFill="1" applyBorder="1" applyAlignment="1">
      <alignment horizontal="center"/>
    </xf>
    <xf numFmtId="164" fontId="0" fillId="3" borderId="8" xfId="0" applyNumberForma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9" fontId="0" fillId="3" borderId="6" xfId="1" applyFont="1" applyFill="1" applyBorder="1" applyAlignment="1">
      <alignment horizontal="center"/>
    </xf>
    <xf numFmtId="9" fontId="0" fillId="3" borderId="9" xfId="1" applyFont="1" applyFill="1" applyBorder="1" applyAlignment="1">
      <alignment horizontal="center"/>
    </xf>
    <xf numFmtId="166" fontId="0" fillId="3" borderId="6" xfId="1" applyNumberFormat="1" applyFont="1" applyFill="1" applyBorder="1" applyAlignment="1">
      <alignment horizontal="center"/>
    </xf>
    <xf numFmtId="166" fontId="0" fillId="3" borderId="9" xfId="1" applyNumberFormat="1" applyFont="1" applyFill="1" applyBorder="1" applyAlignment="1">
      <alignment horizontal="center"/>
    </xf>
    <xf numFmtId="0" fontId="0" fillId="3" borderId="27" xfId="0" applyFill="1" applyBorder="1" applyAlignment="1">
      <alignment horizontal="center"/>
    </xf>
    <xf numFmtId="0" fontId="0" fillId="3" borderId="26" xfId="0" applyFill="1" applyBorder="1" applyAlignment="1">
      <alignment horizontal="center"/>
    </xf>
    <xf numFmtId="0" fontId="2" fillId="3" borderId="36" xfId="0" applyFont="1" applyFill="1" applyBorder="1" applyAlignment="1">
      <alignment horizontal="center"/>
    </xf>
    <xf numFmtId="0" fontId="2" fillId="3" borderId="27" xfId="0" applyFont="1" applyFill="1" applyBorder="1" applyAlignment="1">
      <alignment horizontal="center"/>
    </xf>
    <xf numFmtId="0" fontId="2" fillId="3" borderId="26" xfId="0" applyFont="1" applyFill="1" applyBorder="1" applyAlignment="1">
      <alignment horizontal="center"/>
    </xf>
    <xf numFmtId="0" fontId="3" fillId="3" borderId="36" xfId="0" applyFont="1" applyFill="1" applyBorder="1" applyAlignment="1">
      <alignment horizontal="center"/>
    </xf>
    <xf numFmtId="0" fontId="3" fillId="3" borderId="27" xfId="0" applyFont="1" applyFill="1" applyBorder="1" applyAlignment="1">
      <alignment horizontal="center"/>
    </xf>
    <xf numFmtId="0" fontId="3" fillId="3" borderId="26" xfId="0" applyFont="1" applyFill="1" applyBorder="1" applyAlignment="1">
      <alignment horizontal="center"/>
    </xf>
    <xf numFmtId="0" fontId="0" fillId="3" borderId="36" xfId="0"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9" xfId="0" applyFill="1" applyBorder="1" applyAlignment="1">
      <alignment horizontal="center"/>
    </xf>
    <xf numFmtId="0" fontId="0" fillId="3" borderId="15"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0" fillId="3" borderId="44" xfId="0" applyFill="1" applyBorder="1" applyAlignment="1">
      <alignment horizontal="center"/>
    </xf>
    <xf numFmtId="0" fontId="0" fillId="3" borderId="45" xfId="0" applyFill="1" applyBorder="1" applyAlignment="1">
      <alignment horizontal="center"/>
    </xf>
    <xf numFmtId="0" fontId="0" fillId="3" borderId="46" xfId="0" applyFill="1" applyBorder="1" applyAlignment="1">
      <alignment horizontal="center"/>
    </xf>
    <xf numFmtId="0" fontId="0" fillId="3" borderId="47" xfId="0" applyFill="1" applyBorder="1" applyAlignment="1">
      <alignment horizontal="center"/>
    </xf>
  </cellXfs>
  <cellStyles count="3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ormal" xfId="0" builtinId="0"/>
    <cellStyle name="Percent" xfId="1" builtinId="5"/>
  </cellStyles>
  <dxfs count="254">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Chart if Cutting</a:t>
            </a:r>
          </a:p>
        </c:rich>
      </c:tx>
      <c:layout/>
      <c:overlay val="0"/>
    </c:title>
    <c:autoTitleDeleted val="0"/>
    <c:plotArea>
      <c:layout/>
      <c:scatterChart>
        <c:scatterStyle val="smoothMarker"/>
        <c:varyColors val="0"/>
        <c:ser>
          <c:idx val="0"/>
          <c:order val="0"/>
          <c:trendline>
            <c:spPr>
              <a:ln cmpd="sng">
                <a:prstDash val="solid"/>
              </a:ln>
            </c:spPr>
            <c:trendlineType val="movingAvg"/>
            <c:period val="7"/>
            <c:dispRSqr val="0"/>
            <c:dispEq val="0"/>
          </c:trendline>
          <c:xVal>
            <c:numRef>
              <c:f>'CUTTING TRACKER'!$A$3:$A$367</c:f>
              <c:numCache>
                <c:formatCode>[$-F800]dddd\,\ mmmm\ dd\,\ yyyy</c:formatCode>
                <c:ptCount val="365"/>
                <c:pt idx="0">
                  <c:v>42149.0</c:v>
                </c:pt>
                <c:pt idx="1">
                  <c:v>42150.0</c:v>
                </c:pt>
                <c:pt idx="2">
                  <c:v>42151.0</c:v>
                </c:pt>
                <c:pt idx="3">
                  <c:v>42152.0</c:v>
                </c:pt>
                <c:pt idx="4">
                  <c:v>42153.0</c:v>
                </c:pt>
                <c:pt idx="5">
                  <c:v>42154.0</c:v>
                </c:pt>
                <c:pt idx="6">
                  <c:v>42155.0</c:v>
                </c:pt>
                <c:pt idx="7">
                  <c:v>42156.0</c:v>
                </c:pt>
                <c:pt idx="8">
                  <c:v>42157.0</c:v>
                </c:pt>
                <c:pt idx="9">
                  <c:v>42158.0</c:v>
                </c:pt>
                <c:pt idx="10">
                  <c:v>42159.0</c:v>
                </c:pt>
                <c:pt idx="11">
                  <c:v>42160.0</c:v>
                </c:pt>
                <c:pt idx="12">
                  <c:v>42161.0</c:v>
                </c:pt>
                <c:pt idx="13">
                  <c:v>42162.0</c:v>
                </c:pt>
                <c:pt idx="14">
                  <c:v>42163.0</c:v>
                </c:pt>
                <c:pt idx="15">
                  <c:v>42164.0</c:v>
                </c:pt>
                <c:pt idx="16">
                  <c:v>42165.0</c:v>
                </c:pt>
                <c:pt idx="17">
                  <c:v>42166.0</c:v>
                </c:pt>
                <c:pt idx="18">
                  <c:v>42167.0</c:v>
                </c:pt>
                <c:pt idx="19">
                  <c:v>42168.0</c:v>
                </c:pt>
                <c:pt idx="20">
                  <c:v>42169.0</c:v>
                </c:pt>
                <c:pt idx="21">
                  <c:v>42170.0</c:v>
                </c:pt>
                <c:pt idx="22">
                  <c:v>42171.0</c:v>
                </c:pt>
                <c:pt idx="23">
                  <c:v>42172.0</c:v>
                </c:pt>
                <c:pt idx="24">
                  <c:v>42173.0</c:v>
                </c:pt>
                <c:pt idx="25">
                  <c:v>42174.0</c:v>
                </c:pt>
                <c:pt idx="26">
                  <c:v>42175.0</c:v>
                </c:pt>
                <c:pt idx="27">
                  <c:v>42176.0</c:v>
                </c:pt>
                <c:pt idx="28">
                  <c:v>42177.0</c:v>
                </c:pt>
                <c:pt idx="29">
                  <c:v>42178.0</c:v>
                </c:pt>
                <c:pt idx="30">
                  <c:v>42179.0</c:v>
                </c:pt>
                <c:pt idx="31">
                  <c:v>42180.0</c:v>
                </c:pt>
                <c:pt idx="32">
                  <c:v>42181.0</c:v>
                </c:pt>
                <c:pt idx="33">
                  <c:v>42182.0</c:v>
                </c:pt>
                <c:pt idx="34">
                  <c:v>42183.0</c:v>
                </c:pt>
                <c:pt idx="35">
                  <c:v>42184.0</c:v>
                </c:pt>
                <c:pt idx="36">
                  <c:v>42185.0</c:v>
                </c:pt>
                <c:pt idx="37">
                  <c:v>42186.0</c:v>
                </c:pt>
                <c:pt idx="38">
                  <c:v>42187.0</c:v>
                </c:pt>
                <c:pt idx="39">
                  <c:v>42188.0</c:v>
                </c:pt>
                <c:pt idx="40">
                  <c:v>42189.0</c:v>
                </c:pt>
                <c:pt idx="41">
                  <c:v>42190.0</c:v>
                </c:pt>
                <c:pt idx="42">
                  <c:v>42191.0</c:v>
                </c:pt>
                <c:pt idx="43">
                  <c:v>42192.0</c:v>
                </c:pt>
                <c:pt idx="44">
                  <c:v>42193.0</c:v>
                </c:pt>
                <c:pt idx="45">
                  <c:v>42194.0</c:v>
                </c:pt>
                <c:pt idx="46">
                  <c:v>42195.0</c:v>
                </c:pt>
                <c:pt idx="47">
                  <c:v>42196.0</c:v>
                </c:pt>
                <c:pt idx="48">
                  <c:v>42197.0</c:v>
                </c:pt>
                <c:pt idx="49">
                  <c:v>42198.0</c:v>
                </c:pt>
                <c:pt idx="50">
                  <c:v>42199.0</c:v>
                </c:pt>
                <c:pt idx="51">
                  <c:v>42200.0</c:v>
                </c:pt>
                <c:pt idx="52">
                  <c:v>42201.0</c:v>
                </c:pt>
                <c:pt idx="53">
                  <c:v>42202.0</c:v>
                </c:pt>
                <c:pt idx="54">
                  <c:v>42203.0</c:v>
                </c:pt>
                <c:pt idx="55">
                  <c:v>42204.0</c:v>
                </c:pt>
                <c:pt idx="56">
                  <c:v>42205.0</c:v>
                </c:pt>
                <c:pt idx="57">
                  <c:v>42206.0</c:v>
                </c:pt>
                <c:pt idx="58">
                  <c:v>42207.0</c:v>
                </c:pt>
                <c:pt idx="59">
                  <c:v>42208.0</c:v>
                </c:pt>
                <c:pt idx="60">
                  <c:v>42209.0</c:v>
                </c:pt>
                <c:pt idx="61">
                  <c:v>42210.0</c:v>
                </c:pt>
                <c:pt idx="62">
                  <c:v>42211.0</c:v>
                </c:pt>
                <c:pt idx="63">
                  <c:v>42212.0</c:v>
                </c:pt>
                <c:pt idx="64">
                  <c:v>42213.0</c:v>
                </c:pt>
                <c:pt idx="65">
                  <c:v>42214.0</c:v>
                </c:pt>
                <c:pt idx="66">
                  <c:v>42215.0</c:v>
                </c:pt>
                <c:pt idx="67">
                  <c:v>42216.0</c:v>
                </c:pt>
                <c:pt idx="68">
                  <c:v>42217.0</c:v>
                </c:pt>
                <c:pt idx="69">
                  <c:v>42218.0</c:v>
                </c:pt>
                <c:pt idx="70">
                  <c:v>42219.0</c:v>
                </c:pt>
                <c:pt idx="71">
                  <c:v>42220.0</c:v>
                </c:pt>
                <c:pt idx="72">
                  <c:v>42221.0</c:v>
                </c:pt>
                <c:pt idx="73">
                  <c:v>42222.0</c:v>
                </c:pt>
                <c:pt idx="74">
                  <c:v>42223.0</c:v>
                </c:pt>
                <c:pt idx="75">
                  <c:v>42224.0</c:v>
                </c:pt>
                <c:pt idx="76">
                  <c:v>42225.0</c:v>
                </c:pt>
                <c:pt idx="77">
                  <c:v>42226.0</c:v>
                </c:pt>
                <c:pt idx="78">
                  <c:v>42227.0</c:v>
                </c:pt>
                <c:pt idx="79">
                  <c:v>42228.0</c:v>
                </c:pt>
                <c:pt idx="80">
                  <c:v>42229.0</c:v>
                </c:pt>
                <c:pt idx="81">
                  <c:v>42230.0</c:v>
                </c:pt>
                <c:pt idx="82">
                  <c:v>42231.0</c:v>
                </c:pt>
                <c:pt idx="83">
                  <c:v>42232.0</c:v>
                </c:pt>
                <c:pt idx="84">
                  <c:v>42233.0</c:v>
                </c:pt>
                <c:pt idx="85">
                  <c:v>42234.0</c:v>
                </c:pt>
                <c:pt idx="86">
                  <c:v>42235.0</c:v>
                </c:pt>
                <c:pt idx="87">
                  <c:v>42236.0</c:v>
                </c:pt>
                <c:pt idx="88">
                  <c:v>42237.0</c:v>
                </c:pt>
                <c:pt idx="89">
                  <c:v>42238.0</c:v>
                </c:pt>
                <c:pt idx="90">
                  <c:v>42239.0</c:v>
                </c:pt>
                <c:pt idx="91">
                  <c:v>42240.0</c:v>
                </c:pt>
                <c:pt idx="92">
                  <c:v>42241.0</c:v>
                </c:pt>
                <c:pt idx="93">
                  <c:v>42242.0</c:v>
                </c:pt>
                <c:pt idx="94">
                  <c:v>42243.0</c:v>
                </c:pt>
                <c:pt idx="95">
                  <c:v>42244.0</c:v>
                </c:pt>
                <c:pt idx="96">
                  <c:v>42245.0</c:v>
                </c:pt>
                <c:pt idx="97">
                  <c:v>42246.0</c:v>
                </c:pt>
                <c:pt idx="98">
                  <c:v>42247.0</c:v>
                </c:pt>
                <c:pt idx="99">
                  <c:v>42248.0</c:v>
                </c:pt>
                <c:pt idx="100">
                  <c:v>42249.0</c:v>
                </c:pt>
                <c:pt idx="101">
                  <c:v>42250.0</c:v>
                </c:pt>
                <c:pt idx="102">
                  <c:v>42251.0</c:v>
                </c:pt>
                <c:pt idx="103">
                  <c:v>42252.0</c:v>
                </c:pt>
                <c:pt idx="104">
                  <c:v>42253.0</c:v>
                </c:pt>
                <c:pt idx="105">
                  <c:v>42254.0</c:v>
                </c:pt>
                <c:pt idx="106">
                  <c:v>42255.0</c:v>
                </c:pt>
                <c:pt idx="107">
                  <c:v>42256.0</c:v>
                </c:pt>
                <c:pt idx="108">
                  <c:v>42257.0</c:v>
                </c:pt>
                <c:pt idx="109">
                  <c:v>42258.0</c:v>
                </c:pt>
                <c:pt idx="110">
                  <c:v>42259.0</c:v>
                </c:pt>
                <c:pt idx="111">
                  <c:v>42260.0</c:v>
                </c:pt>
                <c:pt idx="112">
                  <c:v>42261.0</c:v>
                </c:pt>
                <c:pt idx="113">
                  <c:v>42262.0</c:v>
                </c:pt>
                <c:pt idx="114">
                  <c:v>42263.0</c:v>
                </c:pt>
                <c:pt idx="115">
                  <c:v>42264.0</c:v>
                </c:pt>
                <c:pt idx="116">
                  <c:v>42265.0</c:v>
                </c:pt>
                <c:pt idx="117">
                  <c:v>42266.0</c:v>
                </c:pt>
                <c:pt idx="118">
                  <c:v>42267.0</c:v>
                </c:pt>
                <c:pt idx="119">
                  <c:v>42268.0</c:v>
                </c:pt>
                <c:pt idx="120">
                  <c:v>42269.0</c:v>
                </c:pt>
                <c:pt idx="121">
                  <c:v>42270.0</c:v>
                </c:pt>
                <c:pt idx="122">
                  <c:v>42271.0</c:v>
                </c:pt>
                <c:pt idx="123">
                  <c:v>42272.0</c:v>
                </c:pt>
                <c:pt idx="124">
                  <c:v>42273.0</c:v>
                </c:pt>
                <c:pt idx="125">
                  <c:v>42274.0</c:v>
                </c:pt>
                <c:pt idx="126">
                  <c:v>42275.0</c:v>
                </c:pt>
                <c:pt idx="127">
                  <c:v>42276.0</c:v>
                </c:pt>
                <c:pt idx="128">
                  <c:v>42277.0</c:v>
                </c:pt>
                <c:pt idx="129">
                  <c:v>42278.0</c:v>
                </c:pt>
                <c:pt idx="130">
                  <c:v>42279.0</c:v>
                </c:pt>
                <c:pt idx="131">
                  <c:v>42280.0</c:v>
                </c:pt>
                <c:pt idx="132">
                  <c:v>42281.0</c:v>
                </c:pt>
                <c:pt idx="133">
                  <c:v>42282.0</c:v>
                </c:pt>
                <c:pt idx="134">
                  <c:v>42283.0</c:v>
                </c:pt>
                <c:pt idx="135">
                  <c:v>42284.0</c:v>
                </c:pt>
                <c:pt idx="136">
                  <c:v>42285.0</c:v>
                </c:pt>
                <c:pt idx="137">
                  <c:v>42286.0</c:v>
                </c:pt>
                <c:pt idx="138">
                  <c:v>42287.0</c:v>
                </c:pt>
                <c:pt idx="139">
                  <c:v>42288.0</c:v>
                </c:pt>
                <c:pt idx="140">
                  <c:v>42289.0</c:v>
                </c:pt>
                <c:pt idx="141">
                  <c:v>42290.0</c:v>
                </c:pt>
                <c:pt idx="142">
                  <c:v>42291.0</c:v>
                </c:pt>
                <c:pt idx="143">
                  <c:v>42292.0</c:v>
                </c:pt>
                <c:pt idx="144">
                  <c:v>42293.0</c:v>
                </c:pt>
                <c:pt idx="145">
                  <c:v>42294.0</c:v>
                </c:pt>
                <c:pt idx="146">
                  <c:v>42295.0</c:v>
                </c:pt>
                <c:pt idx="147">
                  <c:v>42296.0</c:v>
                </c:pt>
                <c:pt idx="148">
                  <c:v>42297.0</c:v>
                </c:pt>
                <c:pt idx="149">
                  <c:v>42298.0</c:v>
                </c:pt>
                <c:pt idx="150">
                  <c:v>42299.0</c:v>
                </c:pt>
                <c:pt idx="151">
                  <c:v>42300.0</c:v>
                </c:pt>
                <c:pt idx="152">
                  <c:v>42301.0</c:v>
                </c:pt>
                <c:pt idx="153">
                  <c:v>42302.0</c:v>
                </c:pt>
                <c:pt idx="154">
                  <c:v>42303.0</c:v>
                </c:pt>
                <c:pt idx="155">
                  <c:v>42304.0</c:v>
                </c:pt>
                <c:pt idx="156">
                  <c:v>42305.0</c:v>
                </c:pt>
                <c:pt idx="157">
                  <c:v>42306.0</c:v>
                </c:pt>
                <c:pt idx="158">
                  <c:v>42307.0</c:v>
                </c:pt>
                <c:pt idx="159">
                  <c:v>42308.0</c:v>
                </c:pt>
                <c:pt idx="160">
                  <c:v>42309.0</c:v>
                </c:pt>
                <c:pt idx="161">
                  <c:v>42310.0</c:v>
                </c:pt>
                <c:pt idx="162">
                  <c:v>42311.0</c:v>
                </c:pt>
                <c:pt idx="163">
                  <c:v>42312.0</c:v>
                </c:pt>
                <c:pt idx="164">
                  <c:v>42313.0</c:v>
                </c:pt>
                <c:pt idx="165">
                  <c:v>42314.0</c:v>
                </c:pt>
                <c:pt idx="166">
                  <c:v>42315.0</c:v>
                </c:pt>
                <c:pt idx="167">
                  <c:v>42316.0</c:v>
                </c:pt>
                <c:pt idx="168">
                  <c:v>42317.0</c:v>
                </c:pt>
                <c:pt idx="169">
                  <c:v>42318.0</c:v>
                </c:pt>
                <c:pt idx="170">
                  <c:v>42319.0</c:v>
                </c:pt>
                <c:pt idx="171">
                  <c:v>42320.0</c:v>
                </c:pt>
                <c:pt idx="172">
                  <c:v>42321.0</c:v>
                </c:pt>
                <c:pt idx="173">
                  <c:v>42322.0</c:v>
                </c:pt>
                <c:pt idx="174">
                  <c:v>42323.0</c:v>
                </c:pt>
                <c:pt idx="175">
                  <c:v>42324.0</c:v>
                </c:pt>
                <c:pt idx="176">
                  <c:v>42325.0</c:v>
                </c:pt>
                <c:pt idx="177">
                  <c:v>42326.0</c:v>
                </c:pt>
                <c:pt idx="178">
                  <c:v>42327.0</c:v>
                </c:pt>
                <c:pt idx="179">
                  <c:v>42328.0</c:v>
                </c:pt>
                <c:pt idx="180">
                  <c:v>42329.0</c:v>
                </c:pt>
                <c:pt idx="181">
                  <c:v>42330.0</c:v>
                </c:pt>
                <c:pt idx="182">
                  <c:v>42331.0</c:v>
                </c:pt>
                <c:pt idx="183">
                  <c:v>42332.0</c:v>
                </c:pt>
                <c:pt idx="184">
                  <c:v>42333.0</c:v>
                </c:pt>
                <c:pt idx="185">
                  <c:v>42334.0</c:v>
                </c:pt>
                <c:pt idx="186">
                  <c:v>42335.0</c:v>
                </c:pt>
                <c:pt idx="187">
                  <c:v>42336.0</c:v>
                </c:pt>
                <c:pt idx="188">
                  <c:v>42337.0</c:v>
                </c:pt>
                <c:pt idx="189">
                  <c:v>42338.0</c:v>
                </c:pt>
                <c:pt idx="190">
                  <c:v>42339.0</c:v>
                </c:pt>
                <c:pt idx="191">
                  <c:v>42340.0</c:v>
                </c:pt>
                <c:pt idx="192">
                  <c:v>42341.0</c:v>
                </c:pt>
                <c:pt idx="193">
                  <c:v>42342.0</c:v>
                </c:pt>
                <c:pt idx="194">
                  <c:v>42343.0</c:v>
                </c:pt>
                <c:pt idx="195">
                  <c:v>42344.0</c:v>
                </c:pt>
                <c:pt idx="196">
                  <c:v>42345.0</c:v>
                </c:pt>
                <c:pt idx="197">
                  <c:v>42346.0</c:v>
                </c:pt>
                <c:pt idx="198">
                  <c:v>42347.0</c:v>
                </c:pt>
                <c:pt idx="199">
                  <c:v>42348.0</c:v>
                </c:pt>
                <c:pt idx="200">
                  <c:v>42349.0</c:v>
                </c:pt>
                <c:pt idx="201">
                  <c:v>42350.0</c:v>
                </c:pt>
                <c:pt idx="202">
                  <c:v>42351.0</c:v>
                </c:pt>
                <c:pt idx="203">
                  <c:v>42352.0</c:v>
                </c:pt>
                <c:pt idx="204">
                  <c:v>42353.0</c:v>
                </c:pt>
                <c:pt idx="205">
                  <c:v>42354.0</c:v>
                </c:pt>
                <c:pt idx="206">
                  <c:v>42355.0</c:v>
                </c:pt>
                <c:pt idx="207">
                  <c:v>42356.0</c:v>
                </c:pt>
                <c:pt idx="208">
                  <c:v>42357.0</c:v>
                </c:pt>
                <c:pt idx="209">
                  <c:v>42358.0</c:v>
                </c:pt>
                <c:pt idx="210">
                  <c:v>42359.0</c:v>
                </c:pt>
                <c:pt idx="211">
                  <c:v>42360.0</c:v>
                </c:pt>
                <c:pt idx="212">
                  <c:v>42361.0</c:v>
                </c:pt>
                <c:pt idx="213">
                  <c:v>42362.0</c:v>
                </c:pt>
                <c:pt idx="214">
                  <c:v>42363.0</c:v>
                </c:pt>
                <c:pt idx="215">
                  <c:v>42364.0</c:v>
                </c:pt>
                <c:pt idx="216">
                  <c:v>42365.0</c:v>
                </c:pt>
                <c:pt idx="217">
                  <c:v>42366.0</c:v>
                </c:pt>
                <c:pt idx="218">
                  <c:v>42367.0</c:v>
                </c:pt>
                <c:pt idx="219">
                  <c:v>42368.0</c:v>
                </c:pt>
                <c:pt idx="220">
                  <c:v>42369.0</c:v>
                </c:pt>
                <c:pt idx="221">
                  <c:v>42370.0</c:v>
                </c:pt>
                <c:pt idx="222">
                  <c:v>42371.0</c:v>
                </c:pt>
                <c:pt idx="223">
                  <c:v>42372.0</c:v>
                </c:pt>
                <c:pt idx="224">
                  <c:v>42373.0</c:v>
                </c:pt>
                <c:pt idx="225">
                  <c:v>42374.0</c:v>
                </c:pt>
                <c:pt idx="226">
                  <c:v>42375.0</c:v>
                </c:pt>
                <c:pt idx="227">
                  <c:v>42376.0</c:v>
                </c:pt>
                <c:pt idx="228">
                  <c:v>42377.0</c:v>
                </c:pt>
                <c:pt idx="229">
                  <c:v>42378.0</c:v>
                </c:pt>
                <c:pt idx="230">
                  <c:v>42379.0</c:v>
                </c:pt>
                <c:pt idx="231">
                  <c:v>42380.0</c:v>
                </c:pt>
                <c:pt idx="232">
                  <c:v>42381.0</c:v>
                </c:pt>
                <c:pt idx="233">
                  <c:v>42382.0</c:v>
                </c:pt>
                <c:pt idx="234">
                  <c:v>42383.0</c:v>
                </c:pt>
                <c:pt idx="235">
                  <c:v>42384.0</c:v>
                </c:pt>
                <c:pt idx="236">
                  <c:v>42385.0</c:v>
                </c:pt>
                <c:pt idx="237">
                  <c:v>42386.0</c:v>
                </c:pt>
                <c:pt idx="238">
                  <c:v>42387.0</c:v>
                </c:pt>
                <c:pt idx="239">
                  <c:v>42388.0</c:v>
                </c:pt>
                <c:pt idx="240">
                  <c:v>42389.0</c:v>
                </c:pt>
                <c:pt idx="241">
                  <c:v>42390.0</c:v>
                </c:pt>
                <c:pt idx="242">
                  <c:v>42391.0</c:v>
                </c:pt>
                <c:pt idx="243">
                  <c:v>42392.0</c:v>
                </c:pt>
                <c:pt idx="244">
                  <c:v>42393.0</c:v>
                </c:pt>
                <c:pt idx="245">
                  <c:v>42394.0</c:v>
                </c:pt>
                <c:pt idx="246">
                  <c:v>42395.0</c:v>
                </c:pt>
                <c:pt idx="247">
                  <c:v>42396.0</c:v>
                </c:pt>
                <c:pt idx="248">
                  <c:v>42397.0</c:v>
                </c:pt>
                <c:pt idx="249">
                  <c:v>42398.0</c:v>
                </c:pt>
                <c:pt idx="250">
                  <c:v>42399.0</c:v>
                </c:pt>
                <c:pt idx="251">
                  <c:v>42400.0</c:v>
                </c:pt>
                <c:pt idx="252">
                  <c:v>42401.0</c:v>
                </c:pt>
                <c:pt idx="253">
                  <c:v>42402.0</c:v>
                </c:pt>
                <c:pt idx="254">
                  <c:v>42403.0</c:v>
                </c:pt>
                <c:pt idx="255">
                  <c:v>42404.0</c:v>
                </c:pt>
                <c:pt idx="256">
                  <c:v>42405.0</c:v>
                </c:pt>
                <c:pt idx="257">
                  <c:v>42406.0</c:v>
                </c:pt>
                <c:pt idx="258">
                  <c:v>42407.0</c:v>
                </c:pt>
                <c:pt idx="259">
                  <c:v>42408.0</c:v>
                </c:pt>
                <c:pt idx="260">
                  <c:v>42409.0</c:v>
                </c:pt>
                <c:pt idx="261">
                  <c:v>42410.0</c:v>
                </c:pt>
                <c:pt idx="262">
                  <c:v>42411.0</c:v>
                </c:pt>
                <c:pt idx="263">
                  <c:v>42412.0</c:v>
                </c:pt>
                <c:pt idx="264">
                  <c:v>42413.0</c:v>
                </c:pt>
                <c:pt idx="265">
                  <c:v>42414.0</c:v>
                </c:pt>
                <c:pt idx="266">
                  <c:v>42415.0</c:v>
                </c:pt>
                <c:pt idx="267">
                  <c:v>42416.0</c:v>
                </c:pt>
                <c:pt idx="268">
                  <c:v>42417.0</c:v>
                </c:pt>
                <c:pt idx="269">
                  <c:v>42418.0</c:v>
                </c:pt>
                <c:pt idx="270">
                  <c:v>42419.0</c:v>
                </c:pt>
                <c:pt idx="271">
                  <c:v>42420.0</c:v>
                </c:pt>
                <c:pt idx="272">
                  <c:v>42421.0</c:v>
                </c:pt>
                <c:pt idx="273">
                  <c:v>42422.0</c:v>
                </c:pt>
                <c:pt idx="274">
                  <c:v>42423.0</c:v>
                </c:pt>
                <c:pt idx="275">
                  <c:v>42424.0</c:v>
                </c:pt>
                <c:pt idx="276">
                  <c:v>42425.0</c:v>
                </c:pt>
                <c:pt idx="277">
                  <c:v>42426.0</c:v>
                </c:pt>
                <c:pt idx="278">
                  <c:v>42427.0</c:v>
                </c:pt>
                <c:pt idx="279">
                  <c:v>42428.0</c:v>
                </c:pt>
                <c:pt idx="280">
                  <c:v>42429.0</c:v>
                </c:pt>
                <c:pt idx="281">
                  <c:v>42430.0</c:v>
                </c:pt>
                <c:pt idx="282">
                  <c:v>42431.0</c:v>
                </c:pt>
                <c:pt idx="283">
                  <c:v>42432.0</c:v>
                </c:pt>
                <c:pt idx="284">
                  <c:v>42433.0</c:v>
                </c:pt>
                <c:pt idx="285">
                  <c:v>42434.0</c:v>
                </c:pt>
                <c:pt idx="286">
                  <c:v>42435.0</c:v>
                </c:pt>
                <c:pt idx="287">
                  <c:v>42436.0</c:v>
                </c:pt>
                <c:pt idx="288">
                  <c:v>42437.0</c:v>
                </c:pt>
                <c:pt idx="289">
                  <c:v>42438.0</c:v>
                </c:pt>
                <c:pt idx="290">
                  <c:v>42439.0</c:v>
                </c:pt>
                <c:pt idx="291">
                  <c:v>42440.0</c:v>
                </c:pt>
                <c:pt idx="292">
                  <c:v>42441.0</c:v>
                </c:pt>
                <c:pt idx="293">
                  <c:v>42442.0</c:v>
                </c:pt>
                <c:pt idx="294">
                  <c:v>42443.0</c:v>
                </c:pt>
                <c:pt idx="295">
                  <c:v>42444.0</c:v>
                </c:pt>
                <c:pt idx="296">
                  <c:v>42445.0</c:v>
                </c:pt>
                <c:pt idx="297">
                  <c:v>42446.0</c:v>
                </c:pt>
                <c:pt idx="298">
                  <c:v>42447.0</c:v>
                </c:pt>
                <c:pt idx="299">
                  <c:v>42448.0</c:v>
                </c:pt>
                <c:pt idx="300">
                  <c:v>42449.0</c:v>
                </c:pt>
                <c:pt idx="301">
                  <c:v>42450.0</c:v>
                </c:pt>
                <c:pt idx="302">
                  <c:v>42451.0</c:v>
                </c:pt>
                <c:pt idx="303">
                  <c:v>42452.0</c:v>
                </c:pt>
                <c:pt idx="304">
                  <c:v>42453.0</c:v>
                </c:pt>
                <c:pt idx="305">
                  <c:v>42454.0</c:v>
                </c:pt>
                <c:pt idx="306">
                  <c:v>42455.0</c:v>
                </c:pt>
                <c:pt idx="307">
                  <c:v>42456.0</c:v>
                </c:pt>
                <c:pt idx="308">
                  <c:v>42457.0</c:v>
                </c:pt>
                <c:pt idx="309">
                  <c:v>42458.0</c:v>
                </c:pt>
                <c:pt idx="310">
                  <c:v>42459.0</c:v>
                </c:pt>
                <c:pt idx="311">
                  <c:v>42460.0</c:v>
                </c:pt>
                <c:pt idx="312">
                  <c:v>42461.0</c:v>
                </c:pt>
                <c:pt idx="313">
                  <c:v>42462.0</c:v>
                </c:pt>
                <c:pt idx="314">
                  <c:v>42463.0</c:v>
                </c:pt>
                <c:pt idx="315">
                  <c:v>42464.0</c:v>
                </c:pt>
                <c:pt idx="316">
                  <c:v>42465.0</c:v>
                </c:pt>
                <c:pt idx="317">
                  <c:v>42466.0</c:v>
                </c:pt>
                <c:pt idx="318">
                  <c:v>42467.0</c:v>
                </c:pt>
                <c:pt idx="319">
                  <c:v>42468.0</c:v>
                </c:pt>
                <c:pt idx="320">
                  <c:v>42469.0</c:v>
                </c:pt>
                <c:pt idx="321">
                  <c:v>42470.0</c:v>
                </c:pt>
                <c:pt idx="322">
                  <c:v>42471.0</c:v>
                </c:pt>
                <c:pt idx="323">
                  <c:v>42472.0</c:v>
                </c:pt>
                <c:pt idx="324">
                  <c:v>42473.0</c:v>
                </c:pt>
                <c:pt idx="325">
                  <c:v>42474.0</c:v>
                </c:pt>
                <c:pt idx="326">
                  <c:v>42475.0</c:v>
                </c:pt>
                <c:pt idx="327">
                  <c:v>42476.0</c:v>
                </c:pt>
                <c:pt idx="328">
                  <c:v>42477.0</c:v>
                </c:pt>
                <c:pt idx="329">
                  <c:v>42478.0</c:v>
                </c:pt>
                <c:pt idx="330">
                  <c:v>42479.0</c:v>
                </c:pt>
                <c:pt idx="331">
                  <c:v>42480.0</c:v>
                </c:pt>
                <c:pt idx="332">
                  <c:v>42481.0</c:v>
                </c:pt>
                <c:pt idx="333">
                  <c:v>42482.0</c:v>
                </c:pt>
                <c:pt idx="334">
                  <c:v>42483.0</c:v>
                </c:pt>
                <c:pt idx="335">
                  <c:v>42484.0</c:v>
                </c:pt>
                <c:pt idx="336">
                  <c:v>42485.0</c:v>
                </c:pt>
                <c:pt idx="337">
                  <c:v>42486.0</c:v>
                </c:pt>
                <c:pt idx="338">
                  <c:v>42487.0</c:v>
                </c:pt>
                <c:pt idx="339">
                  <c:v>42488.0</c:v>
                </c:pt>
                <c:pt idx="340">
                  <c:v>42489.0</c:v>
                </c:pt>
                <c:pt idx="341">
                  <c:v>42490.0</c:v>
                </c:pt>
                <c:pt idx="342">
                  <c:v>42491.0</c:v>
                </c:pt>
                <c:pt idx="343">
                  <c:v>42492.0</c:v>
                </c:pt>
                <c:pt idx="344">
                  <c:v>42493.0</c:v>
                </c:pt>
                <c:pt idx="345">
                  <c:v>42494.0</c:v>
                </c:pt>
                <c:pt idx="346">
                  <c:v>42495.0</c:v>
                </c:pt>
                <c:pt idx="347">
                  <c:v>42496.0</c:v>
                </c:pt>
                <c:pt idx="348">
                  <c:v>42497.0</c:v>
                </c:pt>
                <c:pt idx="349">
                  <c:v>42498.0</c:v>
                </c:pt>
                <c:pt idx="350">
                  <c:v>42499.0</c:v>
                </c:pt>
                <c:pt idx="351">
                  <c:v>42500.0</c:v>
                </c:pt>
                <c:pt idx="352">
                  <c:v>42501.0</c:v>
                </c:pt>
                <c:pt idx="353">
                  <c:v>42502.0</c:v>
                </c:pt>
                <c:pt idx="354">
                  <c:v>42503.0</c:v>
                </c:pt>
                <c:pt idx="355">
                  <c:v>42504.0</c:v>
                </c:pt>
                <c:pt idx="356">
                  <c:v>42505.0</c:v>
                </c:pt>
                <c:pt idx="357">
                  <c:v>42506.0</c:v>
                </c:pt>
                <c:pt idx="358">
                  <c:v>42507.0</c:v>
                </c:pt>
                <c:pt idx="359">
                  <c:v>42508.0</c:v>
                </c:pt>
                <c:pt idx="360">
                  <c:v>42509.0</c:v>
                </c:pt>
                <c:pt idx="361">
                  <c:v>42510.0</c:v>
                </c:pt>
                <c:pt idx="362">
                  <c:v>42511.0</c:v>
                </c:pt>
                <c:pt idx="363">
                  <c:v>42512.0</c:v>
                </c:pt>
                <c:pt idx="364">
                  <c:v>42513.0</c:v>
                </c:pt>
              </c:numCache>
            </c:numRef>
          </c:xVal>
          <c:yVal>
            <c:numRef>
              <c:f>'CUTTING TRACKER'!$B$3:$B$367</c:f>
              <c:numCache>
                <c:formatCode>0.0</c:formatCode>
                <c:ptCount val="365"/>
              </c:numCache>
            </c:numRef>
          </c:yVal>
          <c:smooth val="1"/>
        </c:ser>
        <c:dLbls>
          <c:showLegendKey val="0"/>
          <c:showVal val="0"/>
          <c:showCatName val="0"/>
          <c:showSerName val="0"/>
          <c:showPercent val="0"/>
          <c:showBubbleSize val="0"/>
        </c:dLbls>
        <c:axId val="2135287032"/>
        <c:axId val="2135350088"/>
      </c:scatterChart>
      <c:valAx>
        <c:axId val="2135287032"/>
        <c:scaling>
          <c:orientation val="minMax"/>
          <c:max val="42180.0"/>
          <c:min val="42103.0"/>
        </c:scaling>
        <c:delete val="0"/>
        <c:axPos val="b"/>
        <c:title>
          <c:tx>
            <c:rich>
              <a:bodyPr/>
              <a:lstStyle/>
              <a:p>
                <a:pPr>
                  <a:defRPr/>
                </a:pPr>
                <a:r>
                  <a:rPr lang="en-CA"/>
                  <a:t>Date</a:t>
                </a:r>
              </a:p>
            </c:rich>
          </c:tx>
          <c:layout/>
          <c:overlay val="0"/>
        </c:title>
        <c:numFmt formatCode="[$-F800]dddd\,\ mmmm\ dd\,\ yyyy" sourceLinked="1"/>
        <c:majorTickMark val="none"/>
        <c:minorTickMark val="none"/>
        <c:tickLblPos val="nextTo"/>
        <c:crossAx val="2135350088"/>
        <c:crosses val="autoZero"/>
        <c:crossBetween val="midCat"/>
      </c:valAx>
      <c:valAx>
        <c:axId val="2135350088"/>
        <c:scaling>
          <c:orientation val="minMax"/>
          <c:min val="180.0"/>
        </c:scaling>
        <c:delete val="0"/>
        <c:axPos val="l"/>
        <c:majorGridlines/>
        <c:title>
          <c:tx>
            <c:rich>
              <a:bodyPr/>
              <a:lstStyle/>
              <a:p>
                <a:pPr>
                  <a:defRPr/>
                </a:pPr>
                <a:r>
                  <a:rPr lang="en-CA"/>
                  <a:t>Bodyweight</a:t>
                </a:r>
              </a:p>
            </c:rich>
          </c:tx>
          <c:layout/>
          <c:overlay val="0"/>
        </c:title>
        <c:numFmt formatCode="0.0" sourceLinked="1"/>
        <c:majorTickMark val="none"/>
        <c:minorTickMark val="none"/>
        <c:tickLblPos val="nextTo"/>
        <c:crossAx val="213528703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Chart if Bulking</a:t>
            </a:r>
          </a:p>
        </c:rich>
      </c:tx>
      <c:layout/>
      <c:overlay val="0"/>
    </c:title>
    <c:autoTitleDeleted val="0"/>
    <c:plotArea>
      <c:layout/>
      <c:scatterChart>
        <c:scatterStyle val="smoothMarker"/>
        <c:varyColors val="0"/>
        <c:ser>
          <c:idx val="0"/>
          <c:order val="0"/>
          <c:trendline>
            <c:spPr>
              <a:ln cmpd="sng">
                <a:prstDash val="solid"/>
              </a:ln>
            </c:spPr>
            <c:trendlineType val="movingAvg"/>
            <c:period val="7"/>
            <c:dispRSqr val="0"/>
            <c:dispEq val="0"/>
          </c:trendline>
          <c:xVal>
            <c:numRef>
              <c:f>'BULKING TRACKER'!$A$3:$A$367</c:f>
              <c:numCache>
                <c:formatCode>[$-F800]dddd\,\ mmmm\ dd\,\ yyyy</c:formatCode>
                <c:ptCount val="365"/>
                <c:pt idx="0">
                  <c:v>42149.0</c:v>
                </c:pt>
                <c:pt idx="1">
                  <c:v>42150.0</c:v>
                </c:pt>
                <c:pt idx="2">
                  <c:v>42151.0</c:v>
                </c:pt>
                <c:pt idx="3">
                  <c:v>42152.0</c:v>
                </c:pt>
                <c:pt idx="4">
                  <c:v>42153.0</c:v>
                </c:pt>
                <c:pt idx="5">
                  <c:v>42154.0</c:v>
                </c:pt>
                <c:pt idx="6">
                  <c:v>42155.0</c:v>
                </c:pt>
                <c:pt idx="7">
                  <c:v>42156.0</c:v>
                </c:pt>
                <c:pt idx="8">
                  <c:v>42157.0</c:v>
                </c:pt>
                <c:pt idx="9">
                  <c:v>42158.0</c:v>
                </c:pt>
                <c:pt idx="10">
                  <c:v>42159.0</c:v>
                </c:pt>
                <c:pt idx="11">
                  <c:v>42160.0</c:v>
                </c:pt>
                <c:pt idx="12">
                  <c:v>42161.0</c:v>
                </c:pt>
                <c:pt idx="13">
                  <c:v>42162.0</c:v>
                </c:pt>
                <c:pt idx="14">
                  <c:v>42163.0</c:v>
                </c:pt>
                <c:pt idx="15">
                  <c:v>42164.0</c:v>
                </c:pt>
                <c:pt idx="16">
                  <c:v>42165.0</c:v>
                </c:pt>
                <c:pt idx="17">
                  <c:v>42166.0</c:v>
                </c:pt>
                <c:pt idx="18">
                  <c:v>42167.0</c:v>
                </c:pt>
                <c:pt idx="19">
                  <c:v>42168.0</c:v>
                </c:pt>
                <c:pt idx="20">
                  <c:v>42169.0</c:v>
                </c:pt>
                <c:pt idx="21">
                  <c:v>42170.0</c:v>
                </c:pt>
                <c:pt idx="22">
                  <c:v>42171.0</c:v>
                </c:pt>
                <c:pt idx="23">
                  <c:v>42172.0</c:v>
                </c:pt>
                <c:pt idx="24">
                  <c:v>42173.0</c:v>
                </c:pt>
                <c:pt idx="25">
                  <c:v>42174.0</c:v>
                </c:pt>
                <c:pt idx="26">
                  <c:v>42175.0</c:v>
                </c:pt>
                <c:pt idx="27">
                  <c:v>42176.0</c:v>
                </c:pt>
                <c:pt idx="28">
                  <c:v>42177.0</c:v>
                </c:pt>
                <c:pt idx="29">
                  <c:v>42178.0</c:v>
                </c:pt>
                <c:pt idx="30">
                  <c:v>42179.0</c:v>
                </c:pt>
                <c:pt idx="31">
                  <c:v>42180.0</c:v>
                </c:pt>
                <c:pt idx="32">
                  <c:v>42181.0</c:v>
                </c:pt>
                <c:pt idx="33">
                  <c:v>42182.0</c:v>
                </c:pt>
                <c:pt idx="34">
                  <c:v>42183.0</c:v>
                </c:pt>
                <c:pt idx="35">
                  <c:v>42184.0</c:v>
                </c:pt>
                <c:pt idx="36">
                  <c:v>42185.0</c:v>
                </c:pt>
                <c:pt idx="37">
                  <c:v>42186.0</c:v>
                </c:pt>
                <c:pt idx="38">
                  <c:v>42187.0</c:v>
                </c:pt>
                <c:pt idx="39">
                  <c:v>42188.0</c:v>
                </c:pt>
                <c:pt idx="40">
                  <c:v>42189.0</c:v>
                </c:pt>
                <c:pt idx="41">
                  <c:v>42190.0</c:v>
                </c:pt>
                <c:pt idx="42">
                  <c:v>42191.0</c:v>
                </c:pt>
                <c:pt idx="43">
                  <c:v>42192.0</c:v>
                </c:pt>
                <c:pt idx="44">
                  <c:v>42193.0</c:v>
                </c:pt>
                <c:pt idx="45">
                  <c:v>42194.0</c:v>
                </c:pt>
                <c:pt idx="46">
                  <c:v>42195.0</c:v>
                </c:pt>
                <c:pt idx="47">
                  <c:v>42196.0</c:v>
                </c:pt>
                <c:pt idx="48">
                  <c:v>42197.0</c:v>
                </c:pt>
                <c:pt idx="49">
                  <c:v>42198.0</c:v>
                </c:pt>
                <c:pt idx="50">
                  <c:v>42199.0</c:v>
                </c:pt>
                <c:pt idx="51">
                  <c:v>42200.0</c:v>
                </c:pt>
                <c:pt idx="52">
                  <c:v>42201.0</c:v>
                </c:pt>
                <c:pt idx="53">
                  <c:v>42202.0</c:v>
                </c:pt>
                <c:pt idx="54">
                  <c:v>42203.0</c:v>
                </c:pt>
                <c:pt idx="55">
                  <c:v>42204.0</c:v>
                </c:pt>
                <c:pt idx="56">
                  <c:v>42205.0</c:v>
                </c:pt>
                <c:pt idx="57">
                  <c:v>42206.0</c:v>
                </c:pt>
                <c:pt idx="58">
                  <c:v>42207.0</c:v>
                </c:pt>
                <c:pt idx="59">
                  <c:v>42208.0</c:v>
                </c:pt>
                <c:pt idx="60">
                  <c:v>42209.0</c:v>
                </c:pt>
                <c:pt idx="61">
                  <c:v>42210.0</c:v>
                </c:pt>
                <c:pt idx="62">
                  <c:v>42211.0</c:v>
                </c:pt>
                <c:pt idx="63">
                  <c:v>42212.0</c:v>
                </c:pt>
                <c:pt idx="64">
                  <c:v>42213.0</c:v>
                </c:pt>
                <c:pt idx="65">
                  <c:v>42214.0</c:v>
                </c:pt>
                <c:pt idx="66">
                  <c:v>42215.0</c:v>
                </c:pt>
                <c:pt idx="67">
                  <c:v>42216.0</c:v>
                </c:pt>
                <c:pt idx="68">
                  <c:v>42217.0</c:v>
                </c:pt>
                <c:pt idx="69">
                  <c:v>42218.0</c:v>
                </c:pt>
                <c:pt idx="70">
                  <c:v>42219.0</c:v>
                </c:pt>
                <c:pt idx="71">
                  <c:v>42220.0</c:v>
                </c:pt>
                <c:pt idx="72">
                  <c:v>42221.0</c:v>
                </c:pt>
                <c:pt idx="73">
                  <c:v>42222.0</c:v>
                </c:pt>
                <c:pt idx="74">
                  <c:v>42223.0</c:v>
                </c:pt>
                <c:pt idx="75">
                  <c:v>42224.0</c:v>
                </c:pt>
                <c:pt idx="76">
                  <c:v>42225.0</c:v>
                </c:pt>
                <c:pt idx="77">
                  <c:v>42226.0</c:v>
                </c:pt>
                <c:pt idx="78">
                  <c:v>42227.0</c:v>
                </c:pt>
                <c:pt idx="79">
                  <c:v>42228.0</c:v>
                </c:pt>
                <c:pt idx="80">
                  <c:v>42229.0</c:v>
                </c:pt>
                <c:pt idx="81">
                  <c:v>42230.0</c:v>
                </c:pt>
                <c:pt idx="82">
                  <c:v>42231.0</c:v>
                </c:pt>
                <c:pt idx="83">
                  <c:v>42232.0</c:v>
                </c:pt>
                <c:pt idx="84">
                  <c:v>42233.0</c:v>
                </c:pt>
                <c:pt idx="85">
                  <c:v>42234.0</c:v>
                </c:pt>
                <c:pt idx="86">
                  <c:v>42235.0</c:v>
                </c:pt>
                <c:pt idx="87">
                  <c:v>42236.0</c:v>
                </c:pt>
                <c:pt idx="88">
                  <c:v>42237.0</c:v>
                </c:pt>
                <c:pt idx="89">
                  <c:v>42238.0</c:v>
                </c:pt>
                <c:pt idx="90">
                  <c:v>42239.0</c:v>
                </c:pt>
                <c:pt idx="91">
                  <c:v>42240.0</c:v>
                </c:pt>
                <c:pt idx="92">
                  <c:v>42241.0</c:v>
                </c:pt>
                <c:pt idx="93">
                  <c:v>42242.0</c:v>
                </c:pt>
                <c:pt idx="94">
                  <c:v>42243.0</c:v>
                </c:pt>
                <c:pt idx="95">
                  <c:v>42244.0</c:v>
                </c:pt>
                <c:pt idx="96">
                  <c:v>42245.0</c:v>
                </c:pt>
                <c:pt idx="97">
                  <c:v>42246.0</c:v>
                </c:pt>
                <c:pt idx="98">
                  <c:v>42247.0</c:v>
                </c:pt>
                <c:pt idx="99">
                  <c:v>42248.0</c:v>
                </c:pt>
                <c:pt idx="100">
                  <c:v>42249.0</c:v>
                </c:pt>
                <c:pt idx="101">
                  <c:v>42250.0</c:v>
                </c:pt>
                <c:pt idx="102">
                  <c:v>42251.0</c:v>
                </c:pt>
                <c:pt idx="103">
                  <c:v>42252.0</c:v>
                </c:pt>
                <c:pt idx="104">
                  <c:v>42253.0</c:v>
                </c:pt>
                <c:pt idx="105">
                  <c:v>42254.0</c:v>
                </c:pt>
                <c:pt idx="106">
                  <c:v>42255.0</c:v>
                </c:pt>
                <c:pt idx="107">
                  <c:v>42256.0</c:v>
                </c:pt>
                <c:pt idx="108">
                  <c:v>42257.0</c:v>
                </c:pt>
                <c:pt idx="109">
                  <c:v>42258.0</c:v>
                </c:pt>
                <c:pt idx="110">
                  <c:v>42259.0</c:v>
                </c:pt>
                <c:pt idx="111">
                  <c:v>42260.0</c:v>
                </c:pt>
                <c:pt idx="112">
                  <c:v>42261.0</c:v>
                </c:pt>
                <c:pt idx="113">
                  <c:v>42262.0</c:v>
                </c:pt>
                <c:pt idx="114">
                  <c:v>42263.0</c:v>
                </c:pt>
                <c:pt idx="115">
                  <c:v>42264.0</c:v>
                </c:pt>
                <c:pt idx="116">
                  <c:v>42265.0</c:v>
                </c:pt>
                <c:pt idx="117">
                  <c:v>42266.0</c:v>
                </c:pt>
                <c:pt idx="118">
                  <c:v>42267.0</c:v>
                </c:pt>
                <c:pt idx="119">
                  <c:v>42268.0</c:v>
                </c:pt>
                <c:pt idx="120">
                  <c:v>42269.0</c:v>
                </c:pt>
                <c:pt idx="121">
                  <c:v>42270.0</c:v>
                </c:pt>
                <c:pt idx="122">
                  <c:v>42271.0</c:v>
                </c:pt>
                <c:pt idx="123">
                  <c:v>42272.0</c:v>
                </c:pt>
                <c:pt idx="124">
                  <c:v>42273.0</c:v>
                </c:pt>
                <c:pt idx="125">
                  <c:v>42274.0</c:v>
                </c:pt>
                <c:pt idx="126">
                  <c:v>42275.0</c:v>
                </c:pt>
                <c:pt idx="127">
                  <c:v>42276.0</c:v>
                </c:pt>
                <c:pt idx="128">
                  <c:v>42277.0</c:v>
                </c:pt>
                <c:pt idx="129">
                  <c:v>42278.0</c:v>
                </c:pt>
                <c:pt idx="130">
                  <c:v>42279.0</c:v>
                </c:pt>
                <c:pt idx="131">
                  <c:v>42280.0</c:v>
                </c:pt>
                <c:pt idx="132">
                  <c:v>42281.0</c:v>
                </c:pt>
                <c:pt idx="133">
                  <c:v>42282.0</c:v>
                </c:pt>
                <c:pt idx="134">
                  <c:v>42283.0</c:v>
                </c:pt>
                <c:pt idx="135">
                  <c:v>42284.0</c:v>
                </c:pt>
                <c:pt idx="136">
                  <c:v>42285.0</c:v>
                </c:pt>
                <c:pt idx="137">
                  <c:v>42286.0</c:v>
                </c:pt>
                <c:pt idx="138">
                  <c:v>42287.0</c:v>
                </c:pt>
                <c:pt idx="139">
                  <c:v>42288.0</c:v>
                </c:pt>
                <c:pt idx="140">
                  <c:v>42289.0</c:v>
                </c:pt>
                <c:pt idx="141">
                  <c:v>42290.0</c:v>
                </c:pt>
                <c:pt idx="142">
                  <c:v>42291.0</c:v>
                </c:pt>
                <c:pt idx="143">
                  <c:v>42292.0</c:v>
                </c:pt>
                <c:pt idx="144">
                  <c:v>42293.0</c:v>
                </c:pt>
                <c:pt idx="145">
                  <c:v>42294.0</c:v>
                </c:pt>
                <c:pt idx="146">
                  <c:v>42295.0</c:v>
                </c:pt>
                <c:pt idx="147">
                  <c:v>42296.0</c:v>
                </c:pt>
                <c:pt idx="148">
                  <c:v>42297.0</c:v>
                </c:pt>
                <c:pt idx="149">
                  <c:v>42298.0</c:v>
                </c:pt>
                <c:pt idx="150">
                  <c:v>42299.0</c:v>
                </c:pt>
                <c:pt idx="151">
                  <c:v>42300.0</c:v>
                </c:pt>
                <c:pt idx="152">
                  <c:v>42301.0</c:v>
                </c:pt>
                <c:pt idx="153">
                  <c:v>42302.0</c:v>
                </c:pt>
                <c:pt idx="154">
                  <c:v>42303.0</c:v>
                </c:pt>
                <c:pt idx="155">
                  <c:v>42304.0</c:v>
                </c:pt>
                <c:pt idx="156">
                  <c:v>42305.0</c:v>
                </c:pt>
                <c:pt idx="157">
                  <c:v>42306.0</c:v>
                </c:pt>
                <c:pt idx="158">
                  <c:v>42307.0</c:v>
                </c:pt>
                <c:pt idx="159">
                  <c:v>42308.0</c:v>
                </c:pt>
                <c:pt idx="160">
                  <c:v>42309.0</c:v>
                </c:pt>
                <c:pt idx="161">
                  <c:v>42310.0</c:v>
                </c:pt>
                <c:pt idx="162">
                  <c:v>42311.0</c:v>
                </c:pt>
                <c:pt idx="163">
                  <c:v>42312.0</c:v>
                </c:pt>
                <c:pt idx="164">
                  <c:v>42313.0</c:v>
                </c:pt>
                <c:pt idx="165">
                  <c:v>42314.0</c:v>
                </c:pt>
                <c:pt idx="166">
                  <c:v>42315.0</c:v>
                </c:pt>
                <c:pt idx="167">
                  <c:v>42316.0</c:v>
                </c:pt>
                <c:pt idx="168">
                  <c:v>42317.0</c:v>
                </c:pt>
                <c:pt idx="169">
                  <c:v>42318.0</c:v>
                </c:pt>
                <c:pt idx="170">
                  <c:v>42319.0</c:v>
                </c:pt>
                <c:pt idx="171">
                  <c:v>42320.0</c:v>
                </c:pt>
                <c:pt idx="172">
                  <c:v>42321.0</c:v>
                </c:pt>
                <c:pt idx="173">
                  <c:v>42322.0</c:v>
                </c:pt>
                <c:pt idx="174">
                  <c:v>42323.0</c:v>
                </c:pt>
                <c:pt idx="175">
                  <c:v>42324.0</c:v>
                </c:pt>
                <c:pt idx="176">
                  <c:v>42325.0</c:v>
                </c:pt>
                <c:pt idx="177">
                  <c:v>42326.0</c:v>
                </c:pt>
                <c:pt idx="178">
                  <c:v>42327.0</c:v>
                </c:pt>
                <c:pt idx="179">
                  <c:v>42328.0</c:v>
                </c:pt>
                <c:pt idx="180">
                  <c:v>42329.0</c:v>
                </c:pt>
                <c:pt idx="181">
                  <c:v>42330.0</c:v>
                </c:pt>
                <c:pt idx="182">
                  <c:v>42331.0</c:v>
                </c:pt>
                <c:pt idx="183">
                  <c:v>42332.0</c:v>
                </c:pt>
                <c:pt idx="184">
                  <c:v>42333.0</c:v>
                </c:pt>
                <c:pt idx="185">
                  <c:v>42334.0</c:v>
                </c:pt>
                <c:pt idx="186">
                  <c:v>42335.0</c:v>
                </c:pt>
                <c:pt idx="187">
                  <c:v>42336.0</c:v>
                </c:pt>
                <c:pt idx="188">
                  <c:v>42337.0</c:v>
                </c:pt>
                <c:pt idx="189">
                  <c:v>42338.0</c:v>
                </c:pt>
                <c:pt idx="190">
                  <c:v>42339.0</c:v>
                </c:pt>
                <c:pt idx="191">
                  <c:v>42340.0</c:v>
                </c:pt>
                <c:pt idx="192">
                  <c:v>42341.0</c:v>
                </c:pt>
                <c:pt idx="193">
                  <c:v>42342.0</c:v>
                </c:pt>
                <c:pt idx="194">
                  <c:v>42343.0</c:v>
                </c:pt>
                <c:pt idx="195">
                  <c:v>42344.0</c:v>
                </c:pt>
                <c:pt idx="196">
                  <c:v>42345.0</c:v>
                </c:pt>
                <c:pt idx="197">
                  <c:v>42346.0</c:v>
                </c:pt>
                <c:pt idx="198">
                  <c:v>42347.0</c:v>
                </c:pt>
                <c:pt idx="199">
                  <c:v>42348.0</c:v>
                </c:pt>
                <c:pt idx="200">
                  <c:v>42349.0</c:v>
                </c:pt>
                <c:pt idx="201">
                  <c:v>42350.0</c:v>
                </c:pt>
                <c:pt idx="202">
                  <c:v>42351.0</c:v>
                </c:pt>
                <c:pt idx="203">
                  <c:v>42352.0</c:v>
                </c:pt>
                <c:pt idx="204">
                  <c:v>42353.0</c:v>
                </c:pt>
                <c:pt idx="205">
                  <c:v>42354.0</c:v>
                </c:pt>
                <c:pt idx="206">
                  <c:v>42355.0</c:v>
                </c:pt>
                <c:pt idx="207">
                  <c:v>42356.0</c:v>
                </c:pt>
                <c:pt idx="208">
                  <c:v>42357.0</c:v>
                </c:pt>
                <c:pt idx="209">
                  <c:v>42358.0</c:v>
                </c:pt>
                <c:pt idx="210">
                  <c:v>42359.0</c:v>
                </c:pt>
                <c:pt idx="211">
                  <c:v>42360.0</c:v>
                </c:pt>
                <c:pt idx="212">
                  <c:v>42361.0</c:v>
                </c:pt>
                <c:pt idx="213">
                  <c:v>42362.0</c:v>
                </c:pt>
                <c:pt idx="214">
                  <c:v>42363.0</c:v>
                </c:pt>
                <c:pt idx="215">
                  <c:v>42364.0</c:v>
                </c:pt>
                <c:pt idx="216">
                  <c:v>42365.0</c:v>
                </c:pt>
                <c:pt idx="217">
                  <c:v>42366.0</c:v>
                </c:pt>
                <c:pt idx="218">
                  <c:v>42367.0</c:v>
                </c:pt>
                <c:pt idx="219">
                  <c:v>42368.0</c:v>
                </c:pt>
                <c:pt idx="220">
                  <c:v>42369.0</c:v>
                </c:pt>
                <c:pt idx="221">
                  <c:v>42370.0</c:v>
                </c:pt>
                <c:pt idx="222">
                  <c:v>42371.0</c:v>
                </c:pt>
                <c:pt idx="223">
                  <c:v>42372.0</c:v>
                </c:pt>
                <c:pt idx="224">
                  <c:v>42373.0</c:v>
                </c:pt>
                <c:pt idx="225">
                  <c:v>42374.0</c:v>
                </c:pt>
                <c:pt idx="226">
                  <c:v>42375.0</c:v>
                </c:pt>
                <c:pt idx="227">
                  <c:v>42376.0</c:v>
                </c:pt>
                <c:pt idx="228">
                  <c:v>42377.0</c:v>
                </c:pt>
                <c:pt idx="229">
                  <c:v>42378.0</c:v>
                </c:pt>
                <c:pt idx="230">
                  <c:v>42379.0</c:v>
                </c:pt>
                <c:pt idx="231">
                  <c:v>42380.0</c:v>
                </c:pt>
                <c:pt idx="232">
                  <c:v>42381.0</c:v>
                </c:pt>
                <c:pt idx="233">
                  <c:v>42382.0</c:v>
                </c:pt>
                <c:pt idx="234">
                  <c:v>42383.0</c:v>
                </c:pt>
                <c:pt idx="235">
                  <c:v>42384.0</c:v>
                </c:pt>
                <c:pt idx="236">
                  <c:v>42385.0</c:v>
                </c:pt>
                <c:pt idx="237">
                  <c:v>42386.0</c:v>
                </c:pt>
                <c:pt idx="238">
                  <c:v>42387.0</c:v>
                </c:pt>
                <c:pt idx="239">
                  <c:v>42388.0</c:v>
                </c:pt>
                <c:pt idx="240">
                  <c:v>42389.0</c:v>
                </c:pt>
                <c:pt idx="241">
                  <c:v>42390.0</c:v>
                </c:pt>
                <c:pt idx="242">
                  <c:v>42391.0</c:v>
                </c:pt>
                <c:pt idx="243">
                  <c:v>42392.0</c:v>
                </c:pt>
                <c:pt idx="244">
                  <c:v>42393.0</c:v>
                </c:pt>
                <c:pt idx="245">
                  <c:v>42394.0</c:v>
                </c:pt>
                <c:pt idx="246">
                  <c:v>42395.0</c:v>
                </c:pt>
                <c:pt idx="247">
                  <c:v>42396.0</c:v>
                </c:pt>
                <c:pt idx="248">
                  <c:v>42397.0</c:v>
                </c:pt>
                <c:pt idx="249">
                  <c:v>42398.0</c:v>
                </c:pt>
                <c:pt idx="250">
                  <c:v>42399.0</c:v>
                </c:pt>
                <c:pt idx="251">
                  <c:v>42400.0</c:v>
                </c:pt>
                <c:pt idx="252">
                  <c:v>42401.0</c:v>
                </c:pt>
                <c:pt idx="253">
                  <c:v>42402.0</c:v>
                </c:pt>
                <c:pt idx="254">
                  <c:v>42403.0</c:v>
                </c:pt>
                <c:pt idx="255">
                  <c:v>42404.0</c:v>
                </c:pt>
                <c:pt idx="256">
                  <c:v>42405.0</c:v>
                </c:pt>
                <c:pt idx="257">
                  <c:v>42406.0</c:v>
                </c:pt>
                <c:pt idx="258">
                  <c:v>42407.0</c:v>
                </c:pt>
                <c:pt idx="259">
                  <c:v>42408.0</c:v>
                </c:pt>
                <c:pt idx="260">
                  <c:v>42409.0</c:v>
                </c:pt>
                <c:pt idx="261">
                  <c:v>42410.0</c:v>
                </c:pt>
                <c:pt idx="262">
                  <c:v>42411.0</c:v>
                </c:pt>
                <c:pt idx="263">
                  <c:v>42412.0</c:v>
                </c:pt>
                <c:pt idx="264">
                  <c:v>42413.0</c:v>
                </c:pt>
                <c:pt idx="265">
                  <c:v>42414.0</c:v>
                </c:pt>
                <c:pt idx="266">
                  <c:v>42415.0</c:v>
                </c:pt>
                <c:pt idx="267">
                  <c:v>42416.0</c:v>
                </c:pt>
                <c:pt idx="268">
                  <c:v>42417.0</c:v>
                </c:pt>
                <c:pt idx="269">
                  <c:v>42418.0</c:v>
                </c:pt>
                <c:pt idx="270">
                  <c:v>42419.0</c:v>
                </c:pt>
                <c:pt idx="271">
                  <c:v>42420.0</c:v>
                </c:pt>
                <c:pt idx="272">
                  <c:v>42421.0</c:v>
                </c:pt>
                <c:pt idx="273">
                  <c:v>42422.0</c:v>
                </c:pt>
                <c:pt idx="274">
                  <c:v>42423.0</c:v>
                </c:pt>
                <c:pt idx="275">
                  <c:v>42424.0</c:v>
                </c:pt>
                <c:pt idx="276">
                  <c:v>42425.0</c:v>
                </c:pt>
                <c:pt idx="277">
                  <c:v>42426.0</c:v>
                </c:pt>
                <c:pt idx="278">
                  <c:v>42427.0</c:v>
                </c:pt>
                <c:pt idx="279">
                  <c:v>42428.0</c:v>
                </c:pt>
                <c:pt idx="280">
                  <c:v>42429.0</c:v>
                </c:pt>
                <c:pt idx="281">
                  <c:v>42430.0</c:v>
                </c:pt>
                <c:pt idx="282">
                  <c:v>42431.0</c:v>
                </c:pt>
                <c:pt idx="283">
                  <c:v>42432.0</c:v>
                </c:pt>
                <c:pt idx="284">
                  <c:v>42433.0</c:v>
                </c:pt>
                <c:pt idx="285">
                  <c:v>42434.0</c:v>
                </c:pt>
                <c:pt idx="286">
                  <c:v>42435.0</c:v>
                </c:pt>
                <c:pt idx="287">
                  <c:v>42436.0</c:v>
                </c:pt>
                <c:pt idx="288">
                  <c:v>42437.0</c:v>
                </c:pt>
                <c:pt idx="289">
                  <c:v>42438.0</c:v>
                </c:pt>
                <c:pt idx="290">
                  <c:v>42439.0</c:v>
                </c:pt>
                <c:pt idx="291">
                  <c:v>42440.0</c:v>
                </c:pt>
                <c:pt idx="292">
                  <c:v>42441.0</c:v>
                </c:pt>
                <c:pt idx="293">
                  <c:v>42442.0</c:v>
                </c:pt>
                <c:pt idx="294">
                  <c:v>42443.0</c:v>
                </c:pt>
                <c:pt idx="295">
                  <c:v>42444.0</c:v>
                </c:pt>
                <c:pt idx="296">
                  <c:v>42445.0</c:v>
                </c:pt>
                <c:pt idx="297">
                  <c:v>42446.0</c:v>
                </c:pt>
                <c:pt idx="298">
                  <c:v>42447.0</c:v>
                </c:pt>
                <c:pt idx="299">
                  <c:v>42448.0</c:v>
                </c:pt>
                <c:pt idx="300">
                  <c:v>42449.0</c:v>
                </c:pt>
                <c:pt idx="301">
                  <c:v>42450.0</c:v>
                </c:pt>
                <c:pt idx="302">
                  <c:v>42451.0</c:v>
                </c:pt>
                <c:pt idx="303">
                  <c:v>42452.0</c:v>
                </c:pt>
                <c:pt idx="304">
                  <c:v>42453.0</c:v>
                </c:pt>
                <c:pt idx="305">
                  <c:v>42454.0</c:v>
                </c:pt>
                <c:pt idx="306">
                  <c:v>42455.0</c:v>
                </c:pt>
                <c:pt idx="307">
                  <c:v>42456.0</c:v>
                </c:pt>
                <c:pt idx="308">
                  <c:v>42457.0</c:v>
                </c:pt>
                <c:pt idx="309">
                  <c:v>42458.0</c:v>
                </c:pt>
                <c:pt idx="310">
                  <c:v>42459.0</c:v>
                </c:pt>
                <c:pt idx="311">
                  <c:v>42460.0</c:v>
                </c:pt>
                <c:pt idx="312">
                  <c:v>42461.0</c:v>
                </c:pt>
                <c:pt idx="313">
                  <c:v>42462.0</c:v>
                </c:pt>
                <c:pt idx="314">
                  <c:v>42463.0</c:v>
                </c:pt>
                <c:pt idx="315">
                  <c:v>42464.0</c:v>
                </c:pt>
                <c:pt idx="316">
                  <c:v>42465.0</c:v>
                </c:pt>
                <c:pt idx="317">
                  <c:v>42466.0</c:v>
                </c:pt>
                <c:pt idx="318">
                  <c:v>42467.0</c:v>
                </c:pt>
                <c:pt idx="319">
                  <c:v>42468.0</c:v>
                </c:pt>
                <c:pt idx="320">
                  <c:v>42469.0</c:v>
                </c:pt>
                <c:pt idx="321">
                  <c:v>42470.0</c:v>
                </c:pt>
                <c:pt idx="322">
                  <c:v>42471.0</c:v>
                </c:pt>
                <c:pt idx="323">
                  <c:v>42472.0</c:v>
                </c:pt>
                <c:pt idx="324">
                  <c:v>42473.0</c:v>
                </c:pt>
                <c:pt idx="325">
                  <c:v>42474.0</c:v>
                </c:pt>
                <c:pt idx="326">
                  <c:v>42475.0</c:v>
                </c:pt>
                <c:pt idx="327">
                  <c:v>42476.0</c:v>
                </c:pt>
                <c:pt idx="328">
                  <c:v>42477.0</c:v>
                </c:pt>
                <c:pt idx="329">
                  <c:v>42478.0</c:v>
                </c:pt>
                <c:pt idx="330">
                  <c:v>42479.0</c:v>
                </c:pt>
                <c:pt idx="331">
                  <c:v>42480.0</c:v>
                </c:pt>
                <c:pt idx="332">
                  <c:v>42481.0</c:v>
                </c:pt>
                <c:pt idx="333">
                  <c:v>42482.0</c:v>
                </c:pt>
                <c:pt idx="334">
                  <c:v>42483.0</c:v>
                </c:pt>
                <c:pt idx="335">
                  <c:v>42484.0</c:v>
                </c:pt>
                <c:pt idx="336">
                  <c:v>42485.0</c:v>
                </c:pt>
                <c:pt idx="337">
                  <c:v>42486.0</c:v>
                </c:pt>
                <c:pt idx="338">
                  <c:v>42487.0</c:v>
                </c:pt>
                <c:pt idx="339">
                  <c:v>42488.0</c:v>
                </c:pt>
                <c:pt idx="340">
                  <c:v>42489.0</c:v>
                </c:pt>
                <c:pt idx="341">
                  <c:v>42490.0</c:v>
                </c:pt>
                <c:pt idx="342">
                  <c:v>42491.0</c:v>
                </c:pt>
                <c:pt idx="343">
                  <c:v>42492.0</c:v>
                </c:pt>
                <c:pt idx="344">
                  <c:v>42493.0</c:v>
                </c:pt>
                <c:pt idx="345">
                  <c:v>42494.0</c:v>
                </c:pt>
                <c:pt idx="346">
                  <c:v>42495.0</c:v>
                </c:pt>
                <c:pt idx="347">
                  <c:v>42496.0</c:v>
                </c:pt>
                <c:pt idx="348">
                  <c:v>42497.0</c:v>
                </c:pt>
                <c:pt idx="349">
                  <c:v>42498.0</c:v>
                </c:pt>
                <c:pt idx="350">
                  <c:v>42499.0</c:v>
                </c:pt>
                <c:pt idx="351">
                  <c:v>42500.0</c:v>
                </c:pt>
                <c:pt idx="352">
                  <c:v>42501.0</c:v>
                </c:pt>
                <c:pt idx="353">
                  <c:v>42502.0</c:v>
                </c:pt>
                <c:pt idx="354">
                  <c:v>42503.0</c:v>
                </c:pt>
                <c:pt idx="355">
                  <c:v>42504.0</c:v>
                </c:pt>
                <c:pt idx="356">
                  <c:v>42505.0</c:v>
                </c:pt>
                <c:pt idx="357">
                  <c:v>42506.0</c:v>
                </c:pt>
                <c:pt idx="358">
                  <c:v>42507.0</c:v>
                </c:pt>
                <c:pt idx="359">
                  <c:v>42508.0</c:v>
                </c:pt>
                <c:pt idx="360">
                  <c:v>42509.0</c:v>
                </c:pt>
                <c:pt idx="361">
                  <c:v>42510.0</c:v>
                </c:pt>
                <c:pt idx="362">
                  <c:v>42511.0</c:v>
                </c:pt>
                <c:pt idx="363">
                  <c:v>42512.0</c:v>
                </c:pt>
                <c:pt idx="364">
                  <c:v>42513.0</c:v>
                </c:pt>
              </c:numCache>
            </c:numRef>
          </c:xVal>
          <c:yVal>
            <c:numRef>
              <c:f>'BULKING TRACKER'!$B$3:$B$367</c:f>
              <c:numCache>
                <c:formatCode>0.0</c:formatCode>
                <c:ptCount val="365"/>
              </c:numCache>
            </c:numRef>
          </c:yVal>
          <c:smooth val="1"/>
        </c:ser>
        <c:dLbls>
          <c:showLegendKey val="0"/>
          <c:showVal val="0"/>
          <c:showCatName val="0"/>
          <c:showSerName val="0"/>
          <c:showPercent val="0"/>
          <c:showBubbleSize val="0"/>
        </c:dLbls>
        <c:axId val="2136786504"/>
        <c:axId val="2136791704"/>
      </c:scatterChart>
      <c:valAx>
        <c:axId val="2136786504"/>
        <c:scaling>
          <c:orientation val="minMax"/>
        </c:scaling>
        <c:delete val="0"/>
        <c:axPos val="b"/>
        <c:title>
          <c:tx>
            <c:rich>
              <a:bodyPr/>
              <a:lstStyle/>
              <a:p>
                <a:pPr>
                  <a:defRPr/>
                </a:pPr>
                <a:r>
                  <a:rPr lang="en-CA"/>
                  <a:t>Date</a:t>
                </a:r>
              </a:p>
            </c:rich>
          </c:tx>
          <c:layout/>
          <c:overlay val="0"/>
        </c:title>
        <c:numFmt formatCode="[$-F800]dddd\,\ mmmm\ dd\,\ yyyy" sourceLinked="1"/>
        <c:majorTickMark val="none"/>
        <c:minorTickMark val="none"/>
        <c:tickLblPos val="nextTo"/>
        <c:crossAx val="2136791704"/>
        <c:crosses val="autoZero"/>
        <c:crossBetween val="midCat"/>
      </c:valAx>
      <c:valAx>
        <c:axId val="2136791704"/>
        <c:scaling>
          <c:orientation val="minMax"/>
        </c:scaling>
        <c:delete val="0"/>
        <c:axPos val="l"/>
        <c:majorGridlines/>
        <c:title>
          <c:tx>
            <c:rich>
              <a:bodyPr/>
              <a:lstStyle/>
              <a:p>
                <a:pPr>
                  <a:defRPr/>
                </a:pPr>
                <a:r>
                  <a:rPr lang="en-CA"/>
                  <a:t>Bodyweight</a:t>
                </a:r>
              </a:p>
            </c:rich>
          </c:tx>
          <c:layout/>
          <c:overlay val="0"/>
        </c:title>
        <c:numFmt formatCode="0.0" sourceLinked="1"/>
        <c:majorTickMark val="none"/>
        <c:minorTickMark val="none"/>
        <c:tickLblPos val="nextTo"/>
        <c:crossAx val="213678650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104774</xdr:colOff>
      <xdr:row>0</xdr:row>
      <xdr:rowOff>23811</xdr:rowOff>
    </xdr:from>
    <xdr:to>
      <xdr:col>19</xdr:col>
      <xdr:colOff>514349</xdr:colOff>
      <xdr:row>24</xdr:row>
      <xdr:rowOff>180974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19</xdr:col>
      <xdr:colOff>409575</xdr:colOff>
      <xdr:row>50</xdr:row>
      <xdr:rowOff>157163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21"/>
  <sheetViews>
    <sheetView workbookViewId="0">
      <selection activeCell="B7" sqref="B7"/>
    </sheetView>
  </sheetViews>
  <sheetFormatPr baseColWidth="10" defaultColWidth="8.83203125" defaultRowHeight="14" x14ac:dyDescent="0"/>
  <cols>
    <col min="1" max="1" width="25.5" bestFit="1" customWidth="1"/>
    <col min="2" max="2" width="13.6640625" customWidth="1"/>
    <col min="3" max="3" width="13.6640625" style="75" customWidth="1"/>
    <col min="4" max="14" width="8.83203125" style="75"/>
    <col min="15" max="16" width="0" style="75" hidden="1" customWidth="1"/>
    <col min="17" max="35" width="8.83203125" style="75"/>
  </cols>
  <sheetData>
    <row r="1" spans="1:16">
      <c r="A1" s="168" t="s">
        <v>5</v>
      </c>
      <c r="B1" s="168"/>
    </row>
    <row r="2" spans="1:16">
      <c r="A2" s="169"/>
      <c r="B2" s="169"/>
      <c r="O2" s="75" t="s">
        <v>10</v>
      </c>
      <c r="P2" s="75" t="s">
        <v>12</v>
      </c>
    </row>
    <row r="3" spans="1:16">
      <c r="A3" s="5" t="s">
        <v>6</v>
      </c>
      <c r="B3" s="23">
        <v>42149</v>
      </c>
      <c r="O3" s="75" t="s">
        <v>11</v>
      </c>
      <c r="P3" s="75" t="s">
        <v>13</v>
      </c>
    </row>
    <row r="4" spans="1:16">
      <c r="A4" s="5" t="s">
        <v>7</v>
      </c>
      <c r="B4" s="22" t="s">
        <v>10</v>
      </c>
    </row>
    <row r="5" spans="1:16">
      <c r="A5" s="5" t="s">
        <v>8</v>
      </c>
      <c r="B5" s="22" t="s">
        <v>13</v>
      </c>
    </row>
    <row r="6" spans="1:16">
      <c r="A6" s="5" t="s">
        <v>33</v>
      </c>
      <c r="B6" s="24">
        <v>190</v>
      </c>
    </row>
    <row r="7" spans="1:16">
      <c r="A7" s="5" t="s">
        <v>30</v>
      </c>
      <c r="B7" s="24">
        <v>168</v>
      </c>
    </row>
    <row r="8" spans="1:16">
      <c r="A8" s="167" t="s">
        <v>9</v>
      </c>
      <c r="B8" s="5" t="str">
        <f>IF(AND(B4="Male", B5="Bulking"), B6*15, "")</f>
        <v/>
      </c>
      <c r="C8" s="54" t="str">
        <f>IF(AND(B4="Female", B5="Bulking"), B6*14, "")</f>
        <v/>
      </c>
    </row>
    <row r="9" spans="1:16">
      <c r="A9" s="167"/>
      <c r="B9" s="5">
        <f>IF(AND(B4="Male", B5="Cutting"), B6*12, "")</f>
        <v>2280</v>
      </c>
      <c r="C9" s="54" t="str">
        <f>IF(AND(B4="Female", B5="Cutting"), B6*11, "")</f>
        <v/>
      </c>
    </row>
    <row r="10" spans="1:16">
      <c r="A10" s="6" t="s">
        <v>16</v>
      </c>
      <c r="B10" s="25">
        <v>2330.4</v>
      </c>
    </row>
    <row r="11" spans="1:16" ht="15" thickBot="1">
      <c r="A11" s="6" t="s">
        <v>35</v>
      </c>
      <c r="B11" s="25">
        <v>2330.4</v>
      </c>
    </row>
    <row r="12" spans="1:16" ht="15" thickBot="1">
      <c r="A12" s="38" t="s">
        <v>14</v>
      </c>
      <c r="B12" s="39" t="s">
        <v>18</v>
      </c>
      <c r="C12" s="115" t="s">
        <v>19</v>
      </c>
    </row>
    <row r="13" spans="1:16">
      <c r="A13" s="36" t="s">
        <v>17</v>
      </c>
      <c r="B13" s="37">
        <f>IF(B5="Cutting",MROUND(B6*1.1,5),MROUND(B6,5))</f>
        <v>210</v>
      </c>
      <c r="C13" s="86">
        <f>IF(B5="Cutting", MROUND(B6*1.2, 5), MROUND(B6+10, 5))</f>
        <v>230</v>
      </c>
    </row>
    <row r="14" spans="1:16">
      <c r="A14" s="35" t="s">
        <v>20</v>
      </c>
      <c r="B14" s="5">
        <f>IFERROR(IF(B5="Cutting",MROUND((((B11+500)-(B13*4)-(B15*9))/4),5),MROUND((((B11+500)-(B13*4)-(B15*9))/4),5)),0)</f>
        <v>355</v>
      </c>
      <c r="C14" s="54">
        <f>IFERROR(MROUND((((B11)-(C13*4)-(C15*9))/4),1),0)</f>
        <v>222</v>
      </c>
    </row>
    <row r="15" spans="1:16">
      <c r="A15" s="35" t="s">
        <v>21</v>
      </c>
      <c r="B15" s="5">
        <f>MROUND(((B11+500)*0.2)/9,1)</f>
        <v>63</v>
      </c>
      <c r="C15" s="54">
        <f>IF(B5="Cutting", MROUND((B11*0.225)/9, 1), MROUND((B11*0.25)/9, 1))</f>
        <v>58</v>
      </c>
    </row>
    <row r="16" spans="1:16">
      <c r="A16" s="35" t="s">
        <v>22</v>
      </c>
      <c r="B16" s="5">
        <f>IF(B14&gt;20, MROUND(B14/10,1), 20)</f>
        <v>36</v>
      </c>
      <c r="C16" s="54">
        <f>IF(C14&gt;20, MROUND(C14/10,1), 20)</f>
        <v>22</v>
      </c>
    </row>
    <row r="17" spans="1:4" s="75" customFormat="1"/>
    <row r="18" spans="1:4" s="75" customFormat="1"/>
    <row r="19" spans="1:4" s="75" customFormat="1">
      <c r="A19" s="117" t="s">
        <v>25</v>
      </c>
    </row>
    <row r="20" spans="1:4">
      <c r="A20" t="s">
        <v>26</v>
      </c>
      <c r="B20" s="25"/>
      <c r="C20" s="116" t="s">
        <v>27</v>
      </c>
      <c r="D20" s="116"/>
    </row>
    <row r="21" spans="1:4" s="75" customFormat="1">
      <c r="A21" s="75" t="s">
        <v>28</v>
      </c>
    </row>
    <row r="22" spans="1:4" s="75" customFormat="1">
      <c r="A22" s="75" t="s">
        <v>29</v>
      </c>
    </row>
    <row r="23" spans="1:4" s="75" customFormat="1"/>
    <row r="24" spans="1:4" s="75" customFormat="1"/>
    <row r="25" spans="1:4" s="75" customFormat="1"/>
    <row r="26" spans="1:4" s="75" customFormat="1"/>
    <row r="27" spans="1:4" s="75" customFormat="1"/>
    <row r="28" spans="1:4" s="75" customFormat="1"/>
    <row r="29" spans="1:4" s="75" customFormat="1"/>
    <row r="30" spans="1:4" s="75" customFormat="1"/>
    <row r="31" spans="1:4" s="75" customFormat="1"/>
    <row r="32" spans="1:4" s="75" customFormat="1"/>
    <row r="33" s="75" customFormat="1"/>
    <row r="34" s="75" customFormat="1"/>
    <row r="35" s="75" customFormat="1"/>
    <row r="36" s="75" customFormat="1"/>
    <row r="37" s="75" customFormat="1"/>
    <row r="38" s="75" customFormat="1"/>
    <row r="39" s="75" customFormat="1"/>
    <row r="40" s="75" customFormat="1"/>
    <row r="41" s="75" customFormat="1"/>
    <row r="42" s="75" customFormat="1"/>
    <row r="43" s="75" customFormat="1"/>
    <row r="44" s="75" customFormat="1"/>
    <row r="45" s="75" customFormat="1"/>
    <row r="46" s="75" customFormat="1"/>
    <row r="47" s="75" customFormat="1"/>
    <row r="48" s="75" customFormat="1"/>
    <row r="49" s="75" customFormat="1"/>
    <row r="50" s="75" customFormat="1"/>
    <row r="51" s="75" customFormat="1"/>
    <row r="52" s="75" customFormat="1"/>
    <row r="53" s="75" customFormat="1"/>
    <row r="54" s="75" customFormat="1"/>
    <row r="55" s="75" customFormat="1"/>
    <row r="56" s="75" customFormat="1"/>
    <row r="57" s="75" customFormat="1"/>
    <row r="58" s="75" customFormat="1"/>
    <row r="59" s="75" customFormat="1"/>
    <row r="60" s="75" customFormat="1"/>
    <row r="61" s="75" customFormat="1"/>
    <row r="62" s="75" customFormat="1"/>
    <row r="63" s="75" customFormat="1"/>
    <row r="64" s="75" customFormat="1"/>
    <row r="65" s="75" customFormat="1"/>
    <row r="66" s="75" customFormat="1"/>
    <row r="67" s="75" customFormat="1"/>
    <row r="68" s="75" customFormat="1"/>
    <row r="69" s="75" customFormat="1"/>
    <row r="70" s="75" customFormat="1"/>
    <row r="71" s="75" customFormat="1"/>
    <row r="72" s="75" customFormat="1"/>
    <row r="73" s="75" customFormat="1"/>
    <row r="74" s="75" customFormat="1"/>
    <row r="75" s="75" customFormat="1"/>
    <row r="76" s="75" customFormat="1"/>
    <row r="77" s="75" customFormat="1"/>
    <row r="78" s="75" customFormat="1"/>
    <row r="79" s="75" customFormat="1"/>
    <row r="80" s="75" customFormat="1"/>
    <row r="81" s="75" customFormat="1"/>
    <row r="82" s="75" customFormat="1"/>
    <row r="83" s="75" customFormat="1"/>
    <row r="84" s="75" customFormat="1"/>
    <row r="85" s="75" customFormat="1"/>
    <row r="86" s="75" customFormat="1"/>
    <row r="87" s="75" customFormat="1"/>
    <row r="88" s="75" customFormat="1"/>
    <row r="89" s="75" customFormat="1"/>
    <row r="90" s="75" customFormat="1"/>
    <row r="91" s="75" customFormat="1"/>
    <row r="92" s="75" customFormat="1"/>
    <row r="93" s="75" customFormat="1"/>
    <row r="94" s="75" customFormat="1"/>
    <row r="95" s="75" customFormat="1"/>
    <row r="96" s="75" customFormat="1"/>
    <row r="97" s="75" customFormat="1"/>
    <row r="98" s="75" customFormat="1"/>
    <row r="99" s="75" customFormat="1"/>
    <row r="100" s="75" customFormat="1"/>
    <row r="101" s="75" customFormat="1"/>
    <row r="102" s="75" customFormat="1"/>
    <row r="103" s="75" customFormat="1"/>
    <row r="104" s="75" customFormat="1"/>
    <row r="105" s="75" customFormat="1"/>
    <row r="106" s="75" customFormat="1"/>
    <row r="107" s="75" customFormat="1"/>
    <row r="108" s="75" customFormat="1"/>
    <row r="109" s="75" customFormat="1"/>
    <row r="110" s="75" customFormat="1"/>
    <row r="111" s="75" customFormat="1"/>
    <row r="112" s="75" customFormat="1"/>
    <row r="113" s="75" customFormat="1"/>
    <row r="114" s="75" customFormat="1"/>
    <row r="115" s="75" customFormat="1"/>
    <row r="116" s="75" customFormat="1"/>
    <row r="117" s="75" customFormat="1"/>
    <row r="118" s="75" customFormat="1"/>
    <row r="119" s="75" customFormat="1"/>
    <row r="120" s="75" customFormat="1"/>
    <row r="121" s="75" customFormat="1"/>
    <row r="122" s="75" customFormat="1"/>
    <row r="123" s="75" customFormat="1"/>
    <row r="124" s="75" customFormat="1"/>
    <row r="125" s="75" customFormat="1"/>
    <row r="126" s="75" customFormat="1"/>
    <row r="127" s="75" customFormat="1"/>
    <row r="128" s="75" customFormat="1"/>
    <row r="129" s="75" customFormat="1"/>
    <row r="130" s="75" customFormat="1"/>
    <row r="131" s="75" customFormat="1"/>
    <row r="132" s="75" customFormat="1"/>
    <row r="133" s="75" customFormat="1"/>
    <row r="134" s="75" customFormat="1"/>
    <row r="135" s="75" customFormat="1"/>
    <row r="136" s="75" customFormat="1"/>
    <row r="137" s="75" customFormat="1"/>
    <row r="138" s="75" customFormat="1"/>
    <row r="139" s="75" customFormat="1"/>
    <row r="140" s="75" customFormat="1"/>
    <row r="141" s="75" customFormat="1"/>
    <row r="142" s="75" customFormat="1"/>
    <row r="143" s="75" customFormat="1"/>
    <row r="144" s="75" customFormat="1"/>
    <row r="145" s="75" customFormat="1"/>
    <row r="146" s="75" customFormat="1"/>
    <row r="147" s="75" customFormat="1"/>
    <row r="148" s="75" customFormat="1"/>
    <row r="149" s="75" customFormat="1"/>
    <row r="150" s="75" customFormat="1"/>
    <row r="151" s="75" customFormat="1"/>
    <row r="152" s="75" customFormat="1"/>
    <row r="153" s="75" customFormat="1"/>
    <row r="154" s="75" customFormat="1"/>
    <row r="155" s="75" customFormat="1"/>
    <row r="156" s="75" customFormat="1"/>
    <row r="157" s="75" customFormat="1"/>
    <row r="158" s="75" customFormat="1"/>
    <row r="159" s="75" customFormat="1"/>
    <row r="160" s="75" customFormat="1"/>
    <row r="161" s="75" customFormat="1"/>
    <row r="162" s="75" customFormat="1"/>
    <row r="163" s="75" customFormat="1"/>
    <row r="164" s="75" customFormat="1"/>
    <row r="165" s="75" customFormat="1"/>
    <row r="166" s="75" customFormat="1"/>
    <row r="167" s="75" customFormat="1"/>
    <row r="168" s="75" customFormat="1"/>
    <row r="169" s="75" customFormat="1"/>
    <row r="170" s="75" customFormat="1"/>
    <row r="171" s="75" customFormat="1"/>
    <row r="172" s="75" customFormat="1"/>
    <row r="173" s="75" customFormat="1"/>
    <row r="174" s="75" customFormat="1"/>
    <row r="175" s="75" customFormat="1"/>
    <row r="176" s="75" customFormat="1"/>
    <row r="177" s="75" customFormat="1"/>
    <row r="178" s="75" customFormat="1"/>
    <row r="179" s="75" customFormat="1"/>
    <row r="180" s="75" customFormat="1"/>
    <row r="181" s="75" customFormat="1"/>
    <row r="182" s="75" customFormat="1"/>
    <row r="183" s="75" customFormat="1"/>
    <row r="184" s="75" customFormat="1"/>
    <row r="185" s="75" customFormat="1"/>
    <row r="186" s="75" customFormat="1"/>
    <row r="187" s="75" customFormat="1"/>
    <row r="188" s="75" customFormat="1"/>
    <row r="189" s="75" customFormat="1"/>
    <row r="190" s="75" customFormat="1"/>
    <row r="191" s="75" customFormat="1"/>
    <row r="192" s="75" customFormat="1"/>
    <row r="193" s="75" customFormat="1"/>
    <row r="194" s="75" customFormat="1"/>
    <row r="195" s="75" customFormat="1"/>
    <row r="196" s="75" customFormat="1"/>
    <row r="197" s="75" customFormat="1"/>
    <row r="198" s="75" customFormat="1"/>
    <row r="199" s="75" customFormat="1"/>
    <row r="200" s="75" customFormat="1"/>
    <row r="201" s="75" customFormat="1"/>
    <row r="202" s="75" customFormat="1"/>
    <row r="203" s="75" customFormat="1"/>
    <row r="204" s="75" customFormat="1"/>
    <row r="205" s="75" customFormat="1"/>
    <row r="206" s="75" customFormat="1"/>
    <row r="207" s="75" customFormat="1"/>
    <row r="208" s="75" customFormat="1"/>
    <row r="209" s="75" customFormat="1"/>
    <row r="210" s="75" customFormat="1"/>
    <row r="211" s="75" customFormat="1"/>
    <row r="212" s="75" customFormat="1"/>
    <row r="213" s="75" customFormat="1"/>
    <row r="214" s="75" customFormat="1"/>
    <row r="215" s="75" customFormat="1"/>
    <row r="216" s="75" customFormat="1"/>
    <row r="217" s="75" customFormat="1"/>
    <row r="218" s="75" customFormat="1"/>
    <row r="219" s="75" customFormat="1"/>
    <row r="220" s="75" customFormat="1"/>
    <row r="221" s="75" customFormat="1"/>
  </sheetData>
  <dataConsolidate/>
  <mergeCells count="2">
    <mergeCell ref="A8:A9"/>
    <mergeCell ref="A1:B2"/>
  </mergeCells>
  <dataValidations count="2">
    <dataValidation type="list" allowBlank="1" showErrorMessage="1" sqref="B4">
      <formula1>$O$1:$O$3</formula1>
    </dataValidation>
    <dataValidation type="list" allowBlank="1" showInputMessage="1" showErrorMessage="1" sqref="B5">
      <formula1>$P$1:$P$3</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661"/>
  <sheetViews>
    <sheetView zoomScale="85" zoomScaleNormal="85" zoomScalePageLayoutView="85" workbookViewId="0">
      <selection activeCell="B3" sqref="B3"/>
    </sheetView>
  </sheetViews>
  <sheetFormatPr baseColWidth="10" defaultColWidth="8.83203125" defaultRowHeight="14" x14ac:dyDescent="0"/>
  <cols>
    <col min="1" max="1" width="24.33203125" style="1" bestFit="1" customWidth="1"/>
    <col min="2" max="2" width="7.6640625" style="4" bestFit="1" customWidth="1"/>
    <col min="3" max="3" width="10.83203125" style="4" bestFit="1" customWidth="1"/>
    <col min="4" max="4" width="9.83203125" style="2" bestFit="1" customWidth="1"/>
    <col min="5" max="5" width="10.33203125" style="4" hidden="1" customWidth="1"/>
    <col min="6" max="6" width="8" style="4" bestFit="1" customWidth="1"/>
    <col min="7" max="7" width="8" style="4" customWidth="1"/>
    <col min="8" max="8" width="15.5" style="4" bestFit="1" customWidth="1"/>
    <col min="9" max="9" width="18.33203125" style="3" bestFit="1" customWidth="1"/>
    <col min="10" max="11" width="10.83203125" bestFit="1" customWidth="1"/>
    <col min="13" max="13" width="16.1640625" bestFit="1" customWidth="1"/>
    <col min="14" max="14" width="10.5" bestFit="1" customWidth="1"/>
    <col min="15" max="15" width="11.5" bestFit="1" customWidth="1"/>
    <col min="16" max="16" width="15.33203125" bestFit="1" customWidth="1"/>
    <col min="17" max="17" width="13.5" bestFit="1" customWidth="1"/>
    <col min="18" max="61" width="8.83203125" style="75"/>
  </cols>
  <sheetData>
    <row r="1" spans="1:18">
      <c r="A1" s="176" t="s">
        <v>0</v>
      </c>
      <c r="B1" s="174" t="s">
        <v>1</v>
      </c>
      <c r="C1" s="174" t="s">
        <v>31</v>
      </c>
      <c r="D1" s="172" t="s">
        <v>32</v>
      </c>
      <c r="E1" s="174" t="s">
        <v>34</v>
      </c>
      <c r="F1" s="174" t="s">
        <v>15</v>
      </c>
      <c r="G1" s="174" t="s">
        <v>96</v>
      </c>
      <c r="H1" s="174" t="s">
        <v>2</v>
      </c>
      <c r="I1" s="182" t="s">
        <v>3</v>
      </c>
      <c r="J1" s="180" t="s">
        <v>4</v>
      </c>
      <c r="K1" s="180"/>
      <c r="L1" s="180"/>
      <c r="M1" s="180"/>
      <c r="N1" s="180"/>
      <c r="O1" s="180"/>
      <c r="P1" s="178" t="s">
        <v>24</v>
      </c>
      <c r="Q1" s="170" t="s">
        <v>23</v>
      </c>
      <c r="R1" s="170" t="s">
        <v>25</v>
      </c>
    </row>
    <row r="2" spans="1:18" ht="15" thickBot="1">
      <c r="A2" s="177"/>
      <c r="B2" s="175"/>
      <c r="C2" s="175"/>
      <c r="D2" s="173"/>
      <c r="E2" s="175"/>
      <c r="F2" s="175"/>
      <c r="G2" s="175"/>
      <c r="H2" s="175"/>
      <c r="I2" s="183"/>
      <c r="J2" s="181"/>
      <c r="K2" s="181"/>
      <c r="L2" s="181"/>
      <c r="M2" s="181"/>
      <c r="N2" s="181"/>
      <c r="O2" s="181"/>
      <c r="P2" s="179"/>
      <c r="Q2" s="171"/>
      <c r="R2" s="171"/>
    </row>
    <row r="3" spans="1:18">
      <c r="A3" s="14">
        <f>INPUTS!B3</f>
        <v>42149</v>
      </c>
      <c r="B3" s="26"/>
      <c r="C3" s="28">
        <v>90.5</v>
      </c>
      <c r="D3" s="28">
        <v>39</v>
      </c>
      <c r="E3" s="28"/>
      <c r="F3" s="29">
        <f>IFERROR(IF(INPUTS!B4="Male", 86.01*LOG(C3-D3)-70.041*LOG(INPUTS!B$7)+30.3, 163.205*LOG(C3+E3-D3)-97.684*LOG(INPUTS!B$7)-104.912),0)</f>
        <v>21.669652368471692</v>
      </c>
      <c r="G3" s="29">
        <f>(B3)*((100-F3)/100)</f>
        <v>0</v>
      </c>
      <c r="H3" s="15"/>
      <c r="I3" s="16"/>
      <c r="J3" s="17"/>
      <c r="K3" s="17"/>
      <c r="L3" s="17"/>
      <c r="M3" s="17"/>
      <c r="N3" s="17"/>
      <c r="O3" s="17"/>
      <c r="P3" s="18">
        <f>INPUTS!B10</f>
        <v>2330.4</v>
      </c>
      <c r="Q3" s="17"/>
    </row>
    <row r="4" spans="1:18">
      <c r="A4" s="7">
        <f>A3+1</f>
        <v>42150</v>
      </c>
      <c r="B4" s="27"/>
      <c r="C4" s="8"/>
      <c r="D4" s="9"/>
      <c r="E4" s="8"/>
      <c r="F4" s="8"/>
      <c r="G4" s="8"/>
      <c r="H4" s="8"/>
      <c r="I4" s="9"/>
      <c r="J4" s="10"/>
      <c r="K4" s="10"/>
      <c r="L4" s="10"/>
      <c r="M4" s="10"/>
      <c r="N4" s="10"/>
      <c r="O4" s="10"/>
      <c r="P4" s="19"/>
      <c r="Q4" s="10"/>
    </row>
    <row r="5" spans="1:18">
      <c r="A5" s="7">
        <f t="shared" ref="A5:A68" si="0">A4+1</f>
        <v>42151</v>
      </c>
      <c r="B5" s="27"/>
      <c r="C5" s="8"/>
      <c r="D5" s="9"/>
      <c r="E5" s="8"/>
      <c r="F5" s="8"/>
      <c r="G5" s="8"/>
      <c r="H5" s="8"/>
      <c r="I5" s="9"/>
      <c r="J5" s="10"/>
      <c r="K5" s="10"/>
      <c r="L5" s="10"/>
      <c r="M5" s="10"/>
      <c r="N5" s="10"/>
      <c r="O5" s="10"/>
      <c r="P5" s="19"/>
      <c r="Q5" s="10"/>
    </row>
    <row r="6" spans="1:18">
      <c r="A6" s="7">
        <f t="shared" si="0"/>
        <v>42152</v>
      </c>
      <c r="B6" s="27"/>
      <c r="C6" s="8"/>
      <c r="D6" s="9"/>
      <c r="E6" s="8"/>
      <c r="F6" s="8"/>
      <c r="G6" s="8"/>
      <c r="H6" s="8"/>
      <c r="I6" s="9"/>
      <c r="J6" s="10"/>
      <c r="K6" s="10"/>
      <c r="L6" s="10"/>
      <c r="M6" s="10"/>
      <c r="N6" s="10"/>
      <c r="O6" s="10"/>
      <c r="P6" s="19"/>
      <c r="Q6" s="10"/>
    </row>
    <row r="7" spans="1:18">
      <c r="A7" s="7">
        <f t="shared" si="0"/>
        <v>42153</v>
      </c>
      <c r="B7" s="27"/>
      <c r="C7" s="8"/>
      <c r="D7" s="9"/>
      <c r="E7" s="8"/>
      <c r="F7" s="8"/>
      <c r="G7" s="8"/>
      <c r="H7" s="8"/>
      <c r="I7" s="9"/>
      <c r="J7" s="10"/>
      <c r="K7" s="10"/>
      <c r="L7" s="10"/>
      <c r="M7" s="10"/>
      <c r="N7" s="10"/>
      <c r="O7" s="10"/>
      <c r="P7" s="19"/>
      <c r="Q7" s="10"/>
      <c r="R7" s="75" t="s">
        <v>106</v>
      </c>
    </row>
    <row r="8" spans="1:18">
      <c r="A8" s="7">
        <f t="shared" si="0"/>
        <v>42154</v>
      </c>
      <c r="B8" s="27"/>
      <c r="C8" s="8"/>
      <c r="D8" s="9"/>
      <c r="E8" s="8"/>
      <c r="F8" s="8"/>
      <c r="G8" s="8"/>
      <c r="H8" s="8"/>
      <c r="I8" s="9"/>
      <c r="J8" s="10"/>
      <c r="K8" s="10"/>
      <c r="L8" s="10"/>
      <c r="M8" s="10"/>
      <c r="N8" s="10"/>
      <c r="O8" s="10"/>
      <c r="P8" s="19"/>
      <c r="Q8" s="10"/>
    </row>
    <row r="9" spans="1:18">
      <c r="A9" s="7">
        <f t="shared" si="0"/>
        <v>42155</v>
      </c>
      <c r="B9" s="27"/>
      <c r="C9" s="8"/>
      <c r="D9" s="9"/>
      <c r="E9" s="8"/>
      <c r="F9" s="8"/>
      <c r="G9" s="8"/>
      <c r="H9" s="8"/>
      <c r="I9" s="9" t="e">
        <f>AVERAGE(B3:B5)</f>
        <v>#DIV/0!</v>
      </c>
      <c r="J9" s="10"/>
      <c r="K9" s="10"/>
      <c r="L9" s="10"/>
      <c r="M9" s="10"/>
      <c r="N9" s="10"/>
      <c r="O9" s="10"/>
      <c r="P9" s="19"/>
      <c r="Q9" s="10"/>
    </row>
    <row r="10" spans="1:18">
      <c r="A10" s="7">
        <f t="shared" si="0"/>
        <v>42156</v>
      </c>
      <c r="B10" s="27"/>
      <c r="C10" s="27"/>
      <c r="D10" s="21"/>
      <c r="E10" s="27"/>
      <c r="F10" s="29">
        <f>IFERROR(IF(INPUTS!B10="Male", 86.01*LOG(C10-D10)-70.041*LOG(INPUTS!B$7)+30.3, 163.205*LOG('CUTTING TRACKER'!C10+'CUTTING TRACKER'!E10-'CUTTING TRACKER'!D10)-97.684*LOG(INPUTS!B$7)-104.912),0)</f>
        <v>0</v>
      </c>
      <c r="G10" s="29">
        <f>(B10)*((100-F10)/100)</f>
        <v>0</v>
      </c>
      <c r="H10" s="11">
        <f>IFERROR((AVERAGE(B3:B10)),0)</f>
        <v>0</v>
      </c>
      <c r="I10" s="12">
        <f>IFERROR(IF(B10&gt;0, (I9-H10)/I9,0.007), 0)</f>
        <v>7.0000000000000001E-3</v>
      </c>
      <c r="J10" s="13" t="str">
        <f>IF(I10&lt;0, "Cut 200kcal", "")</f>
        <v/>
      </c>
      <c r="K10" s="13" t="str">
        <f>IF(AND(I10&lt;0.005, I10&gt;=0), "Cut 100kcal", "")</f>
        <v/>
      </c>
      <c r="L10" s="13" t="str">
        <f>IF(AND(I10&lt;0.006, I10&gt;=0.005), "Cut 50kcal", "")</f>
        <v/>
      </c>
      <c r="M10" s="13" t="str">
        <f>IF(AND(I10&lt;0.008, I10&gt;=0.006), "Remain Constant", " ")</f>
        <v>Remain Constant</v>
      </c>
      <c r="N10" s="13" t="str">
        <f>IF(AND(I10&gt;=0.008,I10&lt;0.01), "Add 50kcal", "")</f>
        <v/>
      </c>
      <c r="O10" s="13" t="str">
        <f>IF(I10&gt;=0.01, "Add 100kcal", "")</f>
        <v/>
      </c>
      <c r="P10" s="19"/>
      <c r="Q10" s="10"/>
    </row>
    <row r="11" spans="1:18">
      <c r="A11" s="7">
        <f t="shared" si="0"/>
        <v>42157</v>
      </c>
      <c r="B11" s="27"/>
      <c r="C11" s="8"/>
      <c r="D11" s="9"/>
      <c r="E11" s="8"/>
      <c r="F11" s="8"/>
      <c r="G11" s="8"/>
      <c r="H11" s="8"/>
      <c r="I11" s="9"/>
      <c r="J11" s="10"/>
      <c r="K11" s="10"/>
      <c r="L11" s="10"/>
      <c r="M11" s="10"/>
      <c r="N11" s="10"/>
      <c r="O11" s="10"/>
      <c r="P11" s="19"/>
      <c r="Q11" s="10"/>
    </row>
    <row r="12" spans="1:18">
      <c r="A12" s="7">
        <f t="shared" si="0"/>
        <v>42158</v>
      </c>
      <c r="B12" s="27"/>
      <c r="C12" s="8"/>
      <c r="D12" s="9"/>
      <c r="E12" s="8"/>
      <c r="F12" s="8"/>
      <c r="G12" s="8"/>
      <c r="H12" s="8"/>
      <c r="I12" s="9"/>
      <c r="J12" s="10"/>
      <c r="K12" s="10"/>
      <c r="L12" s="10"/>
      <c r="M12" s="10"/>
      <c r="N12" s="10"/>
      <c r="O12" s="10"/>
      <c r="P12" s="19"/>
      <c r="Q12" s="10"/>
    </row>
    <row r="13" spans="1:18">
      <c r="A13" s="7">
        <f t="shared" si="0"/>
        <v>42159</v>
      </c>
      <c r="B13" s="27"/>
      <c r="C13" s="8"/>
      <c r="D13" s="9"/>
      <c r="E13" s="8"/>
      <c r="F13" s="8"/>
      <c r="G13" s="8"/>
      <c r="H13" s="8"/>
      <c r="I13" s="9"/>
      <c r="J13" s="10"/>
      <c r="K13" s="10"/>
      <c r="L13" s="10"/>
      <c r="M13" s="10"/>
      <c r="N13" s="10"/>
      <c r="O13" s="10"/>
      <c r="P13" s="19"/>
      <c r="Q13" s="10"/>
    </row>
    <row r="14" spans="1:18">
      <c r="A14" s="7">
        <f t="shared" si="0"/>
        <v>42160</v>
      </c>
      <c r="B14" s="27"/>
      <c r="C14" s="8"/>
      <c r="D14" s="9"/>
      <c r="E14" s="8"/>
      <c r="F14" s="8"/>
      <c r="G14" s="8"/>
      <c r="H14" s="8"/>
      <c r="I14" s="9"/>
      <c r="J14" s="10"/>
      <c r="K14" s="10"/>
      <c r="L14" s="10"/>
      <c r="M14" s="10"/>
      <c r="N14" s="10"/>
      <c r="O14" s="10"/>
      <c r="P14" s="19"/>
      <c r="Q14" s="10"/>
      <c r="R14" s="75" t="s">
        <v>107</v>
      </c>
    </row>
    <row r="15" spans="1:18">
      <c r="A15" s="7">
        <f t="shared" si="0"/>
        <v>42161</v>
      </c>
      <c r="B15" s="27"/>
      <c r="C15" s="8"/>
      <c r="D15" s="9"/>
      <c r="E15" s="8"/>
      <c r="F15" s="8"/>
      <c r="G15" s="8"/>
      <c r="H15" s="8"/>
      <c r="I15" s="9"/>
      <c r="J15" s="10"/>
      <c r="K15" s="10"/>
      <c r="L15" s="10"/>
      <c r="M15" s="10"/>
      <c r="N15" s="10"/>
      <c r="O15" s="10"/>
      <c r="P15" s="19"/>
      <c r="Q15" s="10"/>
    </row>
    <row r="16" spans="1:18">
      <c r="A16" s="7">
        <f t="shared" si="0"/>
        <v>42162</v>
      </c>
      <c r="B16" s="27"/>
      <c r="C16" s="8"/>
      <c r="D16" s="9"/>
      <c r="E16" s="8"/>
      <c r="F16" s="8"/>
      <c r="G16" s="8"/>
      <c r="H16" s="8"/>
      <c r="I16" s="9"/>
      <c r="J16" s="10"/>
      <c r="K16" s="10"/>
      <c r="L16" s="10"/>
      <c r="M16" s="10"/>
      <c r="N16" s="10"/>
      <c r="O16" s="10"/>
      <c r="P16" s="19"/>
      <c r="Q16" s="10"/>
    </row>
    <row r="17" spans="1:18">
      <c r="A17" s="7">
        <f t="shared" si="0"/>
        <v>42163</v>
      </c>
      <c r="B17" s="27"/>
      <c r="C17" s="27"/>
      <c r="D17" s="21"/>
      <c r="E17" s="27"/>
      <c r="F17" s="29">
        <f>IFERROR(IF(INPUTS!B18="Male", 86.01*LOG(C17-D17)-70.041*LOG(INPUTS!B$7)+30.3, 163.205*LOG('CUTTING TRACKER'!C17+'CUTTING TRACKER'!E17-'CUTTING TRACKER'!D17)-97.684*LOG(INPUTS!B$7)-104.912),0)</f>
        <v>0</v>
      </c>
      <c r="G17" s="29">
        <f>(B17)*((100-F17)/100)</f>
        <v>0</v>
      </c>
      <c r="H17" s="11">
        <f>IFERROR((AVERAGE(B11:B17)),0)</f>
        <v>0</v>
      </c>
      <c r="I17" s="12">
        <f>IFERROR(IF(B17&gt;0, (H10-H17)/H10,0.007), 0)</f>
        <v>7.0000000000000001E-3</v>
      </c>
      <c r="J17" s="13" t="str">
        <f>IF(I17&lt;0, "Cut 200kcal", "")</f>
        <v/>
      </c>
      <c r="K17" s="13" t="str">
        <f>IF(AND(I17&lt;0.005, I17&gt;=0), "Cut 100kcal", "")</f>
        <v/>
      </c>
      <c r="L17" s="13" t="str">
        <f>IF(AND(I17&lt;0.006, I17&gt;=0.005), "Cut 50kcal", "")</f>
        <v/>
      </c>
      <c r="M17" s="13" t="str">
        <f>IF(AND(I17&lt;0.008, I17&gt;=0.006), "Remain Constant", " ")</f>
        <v>Remain Constant</v>
      </c>
      <c r="N17" s="13" t="str">
        <f>IF(AND(I17&gt;=0.008,I17&lt;0.01), "Add 50kcal", "")</f>
        <v/>
      </c>
      <c r="O17" s="13" t="str">
        <f>IF(I17&gt;=0.01, "Add 100kcal", "")</f>
        <v/>
      </c>
      <c r="P17" s="20">
        <v>-100</v>
      </c>
      <c r="Q17" s="5" t="str">
        <f>IF(H17&gt;0,$P$3+P17,"")</f>
        <v/>
      </c>
    </row>
    <row r="18" spans="1:18">
      <c r="A18" s="7">
        <f t="shared" si="0"/>
        <v>42164</v>
      </c>
      <c r="B18" s="27"/>
      <c r="C18" s="8"/>
      <c r="D18" s="9"/>
      <c r="E18" s="8"/>
      <c r="F18" s="8"/>
      <c r="G18" s="8"/>
      <c r="H18" s="8"/>
      <c r="I18" s="9"/>
      <c r="J18" s="9"/>
      <c r="K18" s="9"/>
      <c r="L18" s="8"/>
      <c r="M18" s="9"/>
      <c r="N18" s="9"/>
      <c r="O18" s="9"/>
      <c r="P18" s="19"/>
      <c r="Q18" s="10"/>
    </row>
    <row r="19" spans="1:18">
      <c r="A19" s="7">
        <f t="shared" si="0"/>
        <v>42165</v>
      </c>
      <c r="B19" s="27"/>
      <c r="C19" s="8"/>
      <c r="D19" s="9"/>
      <c r="E19" s="8"/>
      <c r="F19" s="8"/>
      <c r="G19" s="8"/>
      <c r="H19" s="8"/>
      <c r="I19" s="9"/>
      <c r="J19" s="9"/>
      <c r="K19" s="9"/>
      <c r="L19" s="8"/>
      <c r="M19" s="9"/>
      <c r="N19" s="9"/>
      <c r="O19" s="9"/>
      <c r="P19" s="19"/>
      <c r="Q19" s="10"/>
    </row>
    <row r="20" spans="1:18">
      <c r="A20" s="7">
        <f t="shared" si="0"/>
        <v>42166</v>
      </c>
      <c r="B20" s="27"/>
      <c r="C20" s="8"/>
      <c r="D20" s="9"/>
      <c r="E20" s="8"/>
      <c r="F20" s="8"/>
      <c r="G20" s="8"/>
      <c r="H20" s="8"/>
      <c r="I20" s="9"/>
      <c r="J20" s="9"/>
      <c r="K20" s="9"/>
      <c r="L20" s="8"/>
      <c r="M20" s="9"/>
      <c r="N20" s="9"/>
      <c r="O20" s="9"/>
      <c r="P20" s="19"/>
      <c r="Q20" s="10"/>
    </row>
    <row r="21" spans="1:18">
      <c r="A21" s="7">
        <f t="shared" si="0"/>
        <v>42167</v>
      </c>
      <c r="B21" s="27"/>
      <c r="C21" s="8"/>
      <c r="D21" s="9"/>
      <c r="E21" s="8"/>
      <c r="F21" s="8"/>
      <c r="G21" s="8"/>
      <c r="H21" s="8"/>
      <c r="I21" s="9"/>
      <c r="J21" s="9"/>
      <c r="K21" s="9"/>
      <c r="L21" s="8"/>
      <c r="M21" s="9"/>
      <c r="N21" s="9"/>
      <c r="O21" s="9"/>
      <c r="P21" s="19"/>
      <c r="Q21" s="10"/>
      <c r="R21" s="75" t="s">
        <v>108</v>
      </c>
    </row>
    <row r="22" spans="1:18">
      <c r="A22" s="7">
        <f t="shared" si="0"/>
        <v>42168</v>
      </c>
      <c r="B22" s="27"/>
      <c r="C22" s="8"/>
      <c r="D22" s="9"/>
      <c r="E22" s="8"/>
      <c r="F22" s="8"/>
      <c r="G22" s="8"/>
      <c r="H22" s="8"/>
      <c r="I22" s="9"/>
      <c r="J22" s="9"/>
      <c r="K22" s="9"/>
      <c r="L22" s="8"/>
      <c r="M22" s="9"/>
      <c r="N22" s="9"/>
      <c r="O22" s="9"/>
      <c r="P22" s="19"/>
      <c r="Q22" s="10"/>
    </row>
    <row r="23" spans="1:18">
      <c r="A23" s="7">
        <f t="shared" si="0"/>
        <v>42169</v>
      </c>
      <c r="B23" s="27"/>
      <c r="C23" s="8"/>
      <c r="D23" s="9"/>
      <c r="E23" s="8"/>
      <c r="F23" s="8"/>
      <c r="G23" s="8"/>
      <c r="H23" s="8"/>
      <c r="I23" s="9"/>
      <c r="J23" s="9"/>
      <c r="K23" s="9"/>
      <c r="L23" s="8"/>
      <c r="M23" s="9"/>
      <c r="N23" s="9"/>
      <c r="O23" s="9"/>
      <c r="P23" s="19"/>
      <c r="Q23" s="10"/>
    </row>
    <row r="24" spans="1:18">
      <c r="A24" s="7">
        <f t="shared" si="0"/>
        <v>42170</v>
      </c>
      <c r="B24" s="27"/>
      <c r="C24" s="27"/>
      <c r="D24" s="21"/>
      <c r="E24" s="27"/>
      <c r="F24" s="29">
        <f>IFERROR(IF(INPUTS!B25="Male", 86.01*LOG(C24-D24)-70.041*LOG(INPUTS!B$7)+30.3, 163.205*LOG('CUTTING TRACKER'!C24+'CUTTING TRACKER'!E24-'CUTTING TRACKER'!D24)-97.684*LOG(INPUTS!B$7)-104.912),0)</f>
        <v>0</v>
      </c>
      <c r="G24" s="29">
        <f>(B24)*((100-F24)/100)</f>
        <v>0</v>
      </c>
      <c r="H24" s="11">
        <f>IFERROR((AVERAGE(B18:B24)),0)</f>
        <v>0</v>
      </c>
      <c r="I24" s="12">
        <f>IFERROR(IF(B24&gt;0, (H17-H24)/H17,0.007), 0)</f>
        <v>7.0000000000000001E-3</v>
      </c>
      <c r="J24" s="13" t="str">
        <f>IF(I24&lt;0, "Cut 200kcal", "")</f>
        <v/>
      </c>
      <c r="K24" s="13" t="str">
        <f>IF(AND(I24&lt;0.005, I24&gt;=0), "Cut 100kcal", "")</f>
        <v/>
      </c>
      <c r="L24" s="13" t="str">
        <f>IF(AND(I24&lt;0.006, I24&gt;=0.005), "Cut 50kcal", "")</f>
        <v/>
      </c>
      <c r="M24" s="13" t="str">
        <f>IF(AND(I24&lt;0.008, I24&gt;=0.006), "Remain Constant", "")</f>
        <v>Remain Constant</v>
      </c>
      <c r="N24" s="13" t="str">
        <f>IF(AND(I24&gt;=0.008,I24&lt;0.01), "Add 50kcal", "")</f>
        <v/>
      </c>
      <c r="O24" s="13" t="str">
        <f>IF(I24&gt;=0.01, "Add 100kcal", "")</f>
        <v/>
      </c>
      <c r="P24" s="20"/>
      <c r="Q24" s="5" t="str">
        <f>IF(P24&gt;0,Q17+P24,"")</f>
        <v/>
      </c>
    </row>
    <row r="25" spans="1:18">
      <c r="A25" s="7">
        <f t="shared" si="0"/>
        <v>42171</v>
      </c>
      <c r="B25" s="27"/>
      <c r="C25" s="8"/>
      <c r="D25" s="9"/>
      <c r="E25" s="8"/>
      <c r="F25" s="8"/>
      <c r="G25" s="8"/>
      <c r="H25" s="8"/>
      <c r="I25" s="9"/>
      <c r="J25" s="9"/>
      <c r="K25" s="9"/>
      <c r="L25" s="8"/>
      <c r="M25" s="9"/>
      <c r="N25" s="9"/>
      <c r="O25" s="9"/>
      <c r="P25" s="19"/>
      <c r="Q25" s="10"/>
    </row>
    <row r="26" spans="1:18">
      <c r="A26" s="7">
        <f t="shared" si="0"/>
        <v>42172</v>
      </c>
      <c r="B26" s="27"/>
      <c r="C26" s="8"/>
      <c r="D26" s="9"/>
      <c r="E26" s="8"/>
      <c r="F26" s="8"/>
      <c r="G26" s="8"/>
      <c r="H26" s="8"/>
      <c r="I26" s="9"/>
      <c r="J26" s="9"/>
      <c r="K26" s="9"/>
      <c r="L26" s="8"/>
      <c r="M26" s="9"/>
      <c r="N26" s="9"/>
      <c r="O26" s="9"/>
      <c r="P26" s="19"/>
      <c r="Q26" s="10"/>
    </row>
    <row r="27" spans="1:18">
      <c r="A27" s="7">
        <f t="shared" si="0"/>
        <v>42173</v>
      </c>
      <c r="B27" s="27"/>
      <c r="C27" s="8"/>
      <c r="D27" s="9"/>
      <c r="E27" s="8"/>
      <c r="F27" s="8"/>
      <c r="G27" s="8"/>
      <c r="H27" s="8"/>
      <c r="I27" s="9"/>
      <c r="J27" s="9"/>
      <c r="K27" s="9"/>
      <c r="L27" s="8"/>
      <c r="M27" s="9"/>
      <c r="N27" s="9"/>
      <c r="O27" s="9"/>
      <c r="P27" s="19"/>
      <c r="Q27" s="10"/>
    </row>
    <row r="28" spans="1:18">
      <c r="A28" s="7">
        <f t="shared" si="0"/>
        <v>42174</v>
      </c>
      <c r="B28" s="27"/>
      <c r="C28" s="8"/>
      <c r="D28" s="9"/>
      <c r="E28" s="8"/>
      <c r="F28" s="8"/>
      <c r="G28" s="8"/>
      <c r="H28" s="8"/>
      <c r="I28" s="9"/>
      <c r="J28" s="9"/>
      <c r="K28" s="9"/>
      <c r="L28" s="8"/>
      <c r="M28" s="9"/>
      <c r="N28" s="9"/>
      <c r="O28" s="9"/>
      <c r="P28" s="19"/>
      <c r="Q28" s="10"/>
      <c r="R28" s="75" t="s">
        <v>109</v>
      </c>
    </row>
    <row r="29" spans="1:18">
      <c r="A29" s="7">
        <f t="shared" si="0"/>
        <v>42175</v>
      </c>
      <c r="B29" s="27"/>
      <c r="C29" s="8"/>
      <c r="D29" s="9"/>
      <c r="E29" s="8"/>
      <c r="F29" s="8"/>
      <c r="G29" s="8"/>
      <c r="H29" s="8"/>
      <c r="I29" s="9"/>
      <c r="J29" s="9"/>
      <c r="K29" s="9"/>
      <c r="L29" s="8"/>
      <c r="M29" s="9"/>
      <c r="N29" s="9"/>
      <c r="O29" s="9"/>
      <c r="P29" s="19"/>
      <c r="Q29" s="10"/>
    </row>
    <row r="30" spans="1:18">
      <c r="A30" s="7">
        <f t="shared" si="0"/>
        <v>42176</v>
      </c>
      <c r="B30" s="27"/>
      <c r="C30" s="8"/>
      <c r="D30" s="9"/>
      <c r="E30" s="8"/>
      <c r="F30" s="8"/>
      <c r="G30" s="8"/>
      <c r="H30" s="8"/>
      <c r="I30" s="9"/>
      <c r="J30" s="9"/>
      <c r="K30" s="9"/>
      <c r="L30" s="8"/>
      <c r="M30" s="9"/>
      <c r="N30" s="9"/>
      <c r="O30" s="9"/>
      <c r="P30" s="19"/>
      <c r="Q30" s="10"/>
    </row>
    <row r="31" spans="1:18">
      <c r="A31" s="7">
        <f t="shared" si="0"/>
        <v>42177</v>
      </c>
      <c r="B31" s="27"/>
      <c r="C31" s="27"/>
      <c r="D31" s="21"/>
      <c r="E31" s="27"/>
      <c r="F31" s="29">
        <f>IFERROR(IF(INPUTS!B32="Male", 86.01*LOG(C31-D31)-70.041*LOG(INPUTS!B$7)+30.3, 163.205*LOG('CUTTING TRACKER'!C31+'CUTTING TRACKER'!E31-'CUTTING TRACKER'!D31)-97.684*LOG(INPUTS!B$7)-104.912),0)</f>
        <v>0</v>
      </c>
      <c r="G31" s="29">
        <f>(B31)*((100-F31)/100)</f>
        <v>0</v>
      </c>
      <c r="H31" s="11">
        <f>IFERROR((AVERAGE(B25:B31)),0)</f>
        <v>0</v>
      </c>
      <c r="I31" s="12">
        <f>IFERROR(IF(B31&gt;0, (H24-H31)/H24,0.007), 0)</f>
        <v>7.0000000000000001E-3</v>
      </c>
      <c r="J31" s="13" t="str">
        <f>IF(I31&lt;0, "Cut 200kcal", "")</f>
        <v/>
      </c>
      <c r="K31" s="13" t="str">
        <f>IF(AND(I31&lt;0.005, I31&gt;=0), "Cut 100kcal", "")</f>
        <v/>
      </c>
      <c r="L31" s="13" t="str">
        <f>IF(AND(I31&lt;0.006, I31&gt;=0.005), "Cut 50kcal", "")</f>
        <v/>
      </c>
      <c r="M31" s="13" t="str">
        <f>IF(AND(I31&lt;0.008, I31&gt;=0.006), "Remain Constant", "")</f>
        <v>Remain Constant</v>
      </c>
      <c r="N31" s="13" t="str">
        <f>IF(AND(I31&gt;=0.008,I31&lt;0.01), "Add 50kcal", "")</f>
        <v/>
      </c>
      <c r="O31" s="13" t="str">
        <f>IF(I31&gt;=0.01, "Add 100kcal", "")</f>
        <v/>
      </c>
      <c r="P31" s="20"/>
      <c r="Q31" s="5" t="str">
        <f>IF(P31&gt;0,Q24+P31,"")</f>
        <v/>
      </c>
    </row>
    <row r="32" spans="1:18">
      <c r="A32" s="7">
        <f t="shared" si="0"/>
        <v>42178</v>
      </c>
      <c r="B32" s="27"/>
      <c r="C32" s="8"/>
      <c r="D32" s="9"/>
      <c r="E32" s="8"/>
      <c r="F32" s="8"/>
      <c r="G32" s="8"/>
      <c r="H32" s="8"/>
      <c r="I32" s="9"/>
      <c r="J32" s="9"/>
      <c r="K32" s="9"/>
      <c r="L32" s="8"/>
      <c r="M32" s="9"/>
      <c r="N32" s="9"/>
      <c r="O32" s="9"/>
      <c r="P32" s="19"/>
      <c r="Q32" s="10"/>
    </row>
    <row r="33" spans="1:18">
      <c r="A33" s="7">
        <f t="shared" si="0"/>
        <v>42179</v>
      </c>
      <c r="B33" s="27"/>
      <c r="C33" s="8"/>
      <c r="D33" s="9"/>
      <c r="E33" s="8"/>
      <c r="F33" s="8"/>
      <c r="G33" s="8"/>
      <c r="H33" s="8"/>
      <c r="I33" s="9"/>
      <c r="J33" s="9"/>
      <c r="K33" s="9"/>
      <c r="L33" s="8"/>
      <c r="M33" s="9"/>
      <c r="N33" s="9"/>
      <c r="O33" s="9"/>
      <c r="P33" s="19"/>
      <c r="Q33" s="10"/>
    </row>
    <row r="34" spans="1:18">
      <c r="A34" s="7">
        <f t="shared" si="0"/>
        <v>42180</v>
      </c>
      <c r="B34" s="27"/>
      <c r="C34" s="8"/>
      <c r="D34" s="9"/>
      <c r="E34" s="8"/>
      <c r="F34" s="8"/>
      <c r="G34" s="8"/>
      <c r="H34" s="8"/>
      <c r="I34" s="9"/>
      <c r="J34" s="9"/>
      <c r="K34" s="9"/>
      <c r="L34" s="8"/>
      <c r="M34" s="9"/>
      <c r="N34" s="9"/>
      <c r="O34" s="9"/>
      <c r="P34" s="19"/>
      <c r="Q34" s="10"/>
    </row>
    <row r="35" spans="1:18">
      <c r="A35" s="7">
        <f t="shared" si="0"/>
        <v>42181</v>
      </c>
      <c r="B35" s="27"/>
      <c r="C35" s="8"/>
      <c r="D35" s="9"/>
      <c r="E35" s="8"/>
      <c r="F35" s="8"/>
      <c r="G35" s="8"/>
      <c r="H35" s="8"/>
      <c r="I35" s="9"/>
      <c r="J35" s="9"/>
      <c r="K35" s="9"/>
      <c r="L35" s="8"/>
      <c r="M35" s="9"/>
      <c r="N35" s="9"/>
      <c r="O35" s="9"/>
      <c r="P35" s="19"/>
      <c r="Q35" s="10"/>
      <c r="R35" s="75" t="s">
        <v>110</v>
      </c>
    </row>
    <row r="36" spans="1:18">
      <c r="A36" s="7">
        <f t="shared" si="0"/>
        <v>42182</v>
      </c>
      <c r="B36" s="27"/>
      <c r="C36" s="8"/>
      <c r="D36" s="9"/>
      <c r="E36" s="8"/>
      <c r="F36" s="8"/>
      <c r="G36" s="8"/>
      <c r="H36" s="8"/>
      <c r="I36" s="9"/>
      <c r="J36" s="9"/>
      <c r="K36" s="9"/>
      <c r="L36" s="8"/>
      <c r="M36" s="9"/>
      <c r="N36" s="9"/>
      <c r="O36" s="9"/>
      <c r="P36" s="19"/>
      <c r="Q36" s="10"/>
    </row>
    <row r="37" spans="1:18">
      <c r="A37" s="7">
        <f t="shared" si="0"/>
        <v>42183</v>
      </c>
      <c r="B37" s="27"/>
      <c r="C37" s="8"/>
      <c r="D37" s="9"/>
      <c r="E37" s="8"/>
      <c r="F37" s="8"/>
      <c r="G37" s="8"/>
      <c r="H37" s="8"/>
      <c r="I37" s="9"/>
      <c r="J37" s="9"/>
      <c r="K37" s="9"/>
      <c r="L37" s="8"/>
      <c r="M37" s="9"/>
      <c r="N37" s="9"/>
      <c r="O37" s="9"/>
      <c r="P37" s="19"/>
      <c r="Q37" s="10"/>
    </row>
    <row r="38" spans="1:18">
      <c r="A38" s="7">
        <f t="shared" si="0"/>
        <v>42184</v>
      </c>
      <c r="B38" s="27"/>
      <c r="C38" s="27"/>
      <c r="D38" s="21"/>
      <c r="E38" s="27"/>
      <c r="F38" s="29">
        <f>IFERROR(IF(INPUTS!B39="Male", 86.01*LOG(C38-D38)-70.041*LOG(INPUTS!B$7)+30.3, 163.205*LOG('CUTTING TRACKER'!C38+'CUTTING TRACKER'!E38-'CUTTING TRACKER'!D38)-97.684*LOG(INPUTS!B$7)-104.912),0)</f>
        <v>0</v>
      </c>
      <c r="G38" s="29">
        <f>(B38)*((100-F38)/100)</f>
        <v>0</v>
      </c>
      <c r="H38" s="11">
        <f>IFERROR((AVERAGE(B32:B38)),0)</f>
        <v>0</v>
      </c>
      <c r="I38" s="12">
        <f>IFERROR(IF(B38&gt;0, (H31-H38)/H31,0.007), 0)</f>
        <v>7.0000000000000001E-3</v>
      </c>
      <c r="J38" s="13" t="str">
        <f>IF(I38&lt;0, "Cut 200kcal", "")</f>
        <v/>
      </c>
      <c r="K38" s="13" t="str">
        <f>IF(AND(I38&lt;0.005, I38&gt;=0), "Cut 100kcal", "")</f>
        <v/>
      </c>
      <c r="L38" s="13" t="str">
        <f>IF(AND(I38&lt;0.006, I38&gt;=0.005), "Cut 50kcal", "")</f>
        <v/>
      </c>
      <c r="M38" s="13" t="str">
        <f>IF(AND(I38&lt;0.008, I38&gt;=0.006), "Remain Constant", "")</f>
        <v>Remain Constant</v>
      </c>
      <c r="N38" s="13" t="str">
        <f>IF(AND(I38&gt;=0.008,I38&lt;0.01), "Add 50kcal", "")</f>
        <v/>
      </c>
      <c r="O38" s="13" t="str">
        <f>IF(I38&gt;=0.01, "Add 100kcal", "")</f>
        <v/>
      </c>
      <c r="P38" s="20"/>
      <c r="Q38" s="5" t="str">
        <f>IF(P38&gt;0,$P$3+P38,"")</f>
        <v/>
      </c>
    </row>
    <row r="39" spans="1:18">
      <c r="A39" s="7">
        <f t="shared" si="0"/>
        <v>42185</v>
      </c>
      <c r="B39" s="27"/>
      <c r="C39" s="8"/>
      <c r="D39" s="9"/>
      <c r="E39" s="8"/>
      <c r="F39" s="8"/>
      <c r="G39" s="8"/>
      <c r="H39" s="8"/>
      <c r="I39" s="9"/>
      <c r="J39" s="9"/>
      <c r="K39" s="9"/>
      <c r="L39" s="8"/>
      <c r="M39" s="9"/>
      <c r="N39" s="9"/>
      <c r="O39" s="9"/>
      <c r="P39" s="19"/>
      <c r="Q39" s="10"/>
    </row>
    <row r="40" spans="1:18">
      <c r="A40" s="7">
        <f t="shared" si="0"/>
        <v>42186</v>
      </c>
      <c r="B40" s="27"/>
      <c r="C40" s="8"/>
      <c r="D40" s="9"/>
      <c r="E40" s="8"/>
      <c r="F40" s="8"/>
      <c r="G40" s="8"/>
      <c r="H40" s="8"/>
      <c r="I40" s="9"/>
      <c r="J40" s="9"/>
      <c r="K40" s="9"/>
      <c r="L40" s="8"/>
      <c r="M40" s="9"/>
      <c r="N40" s="9"/>
      <c r="O40" s="9"/>
      <c r="P40" s="19"/>
      <c r="Q40" s="10"/>
    </row>
    <row r="41" spans="1:18">
      <c r="A41" s="7">
        <f t="shared" si="0"/>
        <v>42187</v>
      </c>
      <c r="B41" s="27"/>
      <c r="C41" s="8"/>
      <c r="D41" s="9"/>
      <c r="E41" s="8"/>
      <c r="F41" s="8"/>
      <c r="G41" s="8"/>
      <c r="H41" s="8"/>
      <c r="I41" s="9"/>
      <c r="J41" s="9"/>
      <c r="K41" s="9"/>
      <c r="L41" s="8"/>
      <c r="M41" s="9"/>
      <c r="N41" s="9"/>
      <c r="O41" s="9"/>
      <c r="P41" s="19"/>
      <c r="Q41" s="10"/>
    </row>
    <row r="42" spans="1:18">
      <c r="A42" s="7">
        <f t="shared" si="0"/>
        <v>42188</v>
      </c>
      <c r="B42" s="27"/>
      <c r="C42" s="8"/>
      <c r="D42" s="9"/>
      <c r="E42" s="8"/>
      <c r="F42" s="8"/>
      <c r="G42" s="8"/>
      <c r="H42" s="8"/>
      <c r="I42" s="9"/>
      <c r="J42" s="9"/>
      <c r="K42" s="9"/>
      <c r="L42" s="8"/>
      <c r="M42" s="9"/>
      <c r="N42" s="9"/>
      <c r="O42" s="9"/>
      <c r="P42" s="19"/>
      <c r="Q42" s="10"/>
      <c r="R42" s="75" t="s">
        <v>111</v>
      </c>
    </row>
    <row r="43" spans="1:18">
      <c r="A43" s="7">
        <f t="shared" si="0"/>
        <v>42189</v>
      </c>
      <c r="B43" s="27"/>
      <c r="C43" s="8"/>
      <c r="D43" s="9"/>
      <c r="E43" s="8"/>
      <c r="F43" s="8"/>
      <c r="G43" s="8"/>
      <c r="H43" s="8"/>
      <c r="I43" s="9"/>
      <c r="J43" s="9"/>
      <c r="K43" s="9"/>
      <c r="L43" s="8"/>
      <c r="M43" s="9"/>
      <c r="N43" s="9"/>
      <c r="O43" s="9"/>
      <c r="P43" s="19"/>
      <c r="Q43" s="10"/>
    </row>
    <row r="44" spans="1:18">
      <c r="A44" s="7">
        <f t="shared" si="0"/>
        <v>42190</v>
      </c>
      <c r="B44" s="27"/>
      <c r="C44" s="8"/>
      <c r="D44" s="9"/>
      <c r="E44" s="8"/>
      <c r="F44" s="8"/>
      <c r="G44" s="8"/>
      <c r="H44" s="8"/>
      <c r="I44" s="9"/>
      <c r="J44" s="9"/>
      <c r="K44" s="9"/>
      <c r="L44" s="8"/>
      <c r="M44" s="9"/>
      <c r="N44" s="9"/>
      <c r="O44" s="9"/>
      <c r="P44" s="19"/>
      <c r="Q44" s="10"/>
    </row>
    <row r="45" spans="1:18">
      <c r="A45" s="7">
        <f t="shared" si="0"/>
        <v>42191</v>
      </c>
      <c r="B45" s="27"/>
      <c r="C45" s="27"/>
      <c r="D45" s="21"/>
      <c r="E45" s="27"/>
      <c r="F45" s="29">
        <f>IFERROR(IF(INPUTS!B46="Male", 86.01*LOG(C45-D45)-70.041*LOG(INPUTS!B$7)+30.3, 163.205*LOG('CUTTING TRACKER'!C45+'CUTTING TRACKER'!E45-'CUTTING TRACKER'!D45)-97.684*LOG(INPUTS!B$7)-104.912),0)</f>
        <v>0</v>
      </c>
      <c r="G45" s="29">
        <f>(B45)*((100-F45)/100)</f>
        <v>0</v>
      </c>
      <c r="H45" s="11" t="str">
        <f>IF(B45&gt;0, AVERAGE(B39:B45), " ")</f>
        <v xml:space="preserve"> </v>
      </c>
      <c r="I45" s="12">
        <f>IFERROR(IF(B45&gt;0, (H38-H45)/H38,0.007), 0)</f>
        <v>7.0000000000000001E-3</v>
      </c>
      <c r="J45" s="13" t="str">
        <f>IF(I45&lt;0, "Cut 200kcal", "")</f>
        <v/>
      </c>
      <c r="K45" s="13" t="str">
        <f>IF(AND(I45&lt;0.005, I45&gt;=0), "Cut 100kcal", "")</f>
        <v/>
      </c>
      <c r="L45" s="13" t="str">
        <f>IF(AND(I45&lt;0.006, I45&gt;=0.005), "Cut 50kcal", "")</f>
        <v/>
      </c>
      <c r="M45" s="13" t="str">
        <f>IF(AND(I45&lt;0.008, I45&gt;=0.006), "Remain Constant", "")</f>
        <v>Remain Constant</v>
      </c>
      <c r="N45" s="13" t="str">
        <f>IF(AND(I45&gt;=0.008,I45&lt;0.01), "Add 50kcal", "")</f>
        <v/>
      </c>
      <c r="O45" s="13" t="str">
        <f>IF(I45&gt;=0.01, "Add 100kcal", "")</f>
        <v/>
      </c>
      <c r="P45" s="20"/>
      <c r="Q45" s="5" t="str">
        <f>IF(P45&gt;0,Q38+P45,"")</f>
        <v/>
      </c>
    </row>
    <row r="46" spans="1:18">
      <c r="A46" s="7">
        <f t="shared" si="0"/>
        <v>42192</v>
      </c>
      <c r="B46" s="27"/>
      <c r="C46" s="8"/>
      <c r="D46" s="9"/>
      <c r="E46" s="8"/>
      <c r="F46" s="8"/>
      <c r="G46" s="8"/>
      <c r="H46" s="8"/>
      <c r="I46" s="9"/>
      <c r="J46" s="9"/>
      <c r="K46" s="9"/>
      <c r="L46" s="8"/>
      <c r="M46" s="9"/>
      <c r="N46" s="9"/>
      <c r="O46" s="9"/>
      <c r="P46" s="19"/>
      <c r="Q46" s="10"/>
    </row>
    <row r="47" spans="1:18">
      <c r="A47" s="7">
        <f t="shared" si="0"/>
        <v>42193</v>
      </c>
      <c r="B47" s="27"/>
      <c r="C47" s="8"/>
      <c r="D47" s="9"/>
      <c r="E47" s="8"/>
      <c r="F47" s="8"/>
      <c r="G47" s="8"/>
      <c r="H47" s="8"/>
      <c r="I47" s="9"/>
      <c r="J47" s="9"/>
      <c r="K47" s="9"/>
      <c r="L47" s="8"/>
      <c r="M47" s="9"/>
      <c r="N47" s="9"/>
      <c r="O47" s="9"/>
      <c r="P47" s="19"/>
      <c r="Q47" s="10"/>
    </row>
    <row r="48" spans="1:18">
      <c r="A48" s="7">
        <f t="shared" si="0"/>
        <v>42194</v>
      </c>
      <c r="B48" s="27"/>
      <c r="C48" s="8"/>
      <c r="D48" s="9"/>
      <c r="E48" s="8"/>
      <c r="F48" s="8"/>
      <c r="G48" s="8"/>
      <c r="H48" s="8"/>
      <c r="I48" s="9"/>
      <c r="J48" s="9"/>
      <c r="K48" s="9"/>
      <c r="L48" s="8"/>
      <c r="M48" s="9"/>
      <c r="N48" s="9"/>
      <c r="O48" s="9"/>
      <c r="P48" s="19"/>
      <c r="Q48" s="10"/>
    </row>
    <row r="49" spans="1:18">
      <c r="A49" s="7">
        <f t="shared" si="0"/>
        <v>42195</v>
      </c>
      <c r="B49" s="27"/>
      <c r="C49" s="8"/>
      <c r="D49" s="9"/>
      <c r="E49" s="8"/>
      <c r="F49" s="8"/>
      <c r="G49" s="8"/>
      <c r="H49" s="8"/>
      <c r="I49" s="9"/>
      <c r="J49" s="9"/>
      <c r="K49" s="9"/>
      <c r="L49" s="8"/>
      <c r="M49" s="9"/>
      <c r="N49" s="9"/>
      <c r="O49" s="9"/>
      <c r="P49" s="19"/>
      <c r="Q49" s="10"/>
      <c r="R49" s="75" t="s">
        <v>112</v>
      </c>
    </row>
    <row r="50" spans="1:18">
      <c r="A50" s="7">
        <f t="shared" si="0"/>
        <v>42196</v>
      </c>
      <c r="B50" s="27"/>
      <c r="C50" s="8"/>
      <c r="D50" s="9"/>
      <c r="E50" s="8"/>
      <c r="F50" s="8"/>
      <c r="G50" s="8"/>
      <c r="H50" s="8"/>
      <c r="I50" s="9"/>
      <c r="J50" s="9"/>
      <c r="K50" s="9"/>
      <c r="L50" s="8"/>
      <c r="M50" s="9"/>
      <c r="N50" s="9"/>
      <c r="O50" s="9"/>
      <c r="P50" s="19"/>
      <c r="Q50" s="10"/>
    </row>
    <row r="51" spans="1:18">
      <c r="A51" s="7">
        <f t="shared" si="0"/>
        <v>42197</v>
      </c>
      <c r="B51" s="27"/>
      <c r="C51" s="8"/>
      <c r="D51" s="9"/>
      <c r="E51" s="8"/>
      <c r="F51" s="8"/>
      <c r="G51" s="8"/>
      <c r="H51" s="8"/>
      <c r="I51" s="9"/>
      <c r="J51" s="9"/>
      <c r="K51" s="9"/>
      <c r="L51" s="8"/>
      <c r="M51" s="9"/>
      <c r="N51" s="9"/>
      <c r="O51" s="9"/>
      <c r="P51" s="19"/>
      <c r="Q51" s="10"/>
    </row>
    <row r="52" spans="1:18">
      <c r="A52" s="7">
        <f t="shared" si="0"/>
        <v>42198</v>
      </c>
      <c r="B52" s="27"/>
      <c r="C52" s="27"/>
      <c r="D52" s="21"/>
      <c r="E52" s="27"/>
      <c r="F52" s="29">
        <f>IFERROR(IF(INPUTS!B53="Male", 86.01*LOG(C52-D52)-70.041*LOG(INPUTS!B$7)+30.3, 163.205*LOG('CUTTING TRACKER'!C52+'CUTTING TRACKER'!E52-'CUTTING TRACKER'!D52)-97.684*LOG(INPUTS!B$7)-104.912),0)</f>
        <v>0</v>
      </c>
      <c r="G52" s="29">
        <f>(B52)*((100-F52)/100)</f>
        <v>0</v>
      </c>
      <c r="H52" s="11" t="str">
        <f>IF(B52&gt;0, AVERAGE(B46:B52), " ")</f>
        <v xml:space="preserve"> </v>
      </c>
      <c r="I52" s="12">
        <f>IFERROR(IF(B52&gt;0, (H45-H52)/H45,0.007), 0)</f>
        <v>7.0000000000000001E-3</v>
      </c>
      <c r="J52" s="13" t="str">
        <f>IF(I52&lt;0, "Cut 200kcal", "")</f>
        <v/>
      </c>
      <c r="K52" s="13" t="str">
        <f>IF(AND(I52&lt;0.005, I52&gt;=0), "Cut 100kcal", "")</f>
        <v/>
      </c>
      <c r="L52" s="13" t="str">
        <f>IF(AND(I52&lt;0.006, I52&gt;=0.005), "Cut 50kcal", "")</f>
        <v/>
      </c>
      <c r="M52" s="13" t="str">
        <f>IF(AND(I52&lt;0.008, I52&gt;=0.006), "Remain Constant", "")</f>
        <v>Remain Constant</v>
      </c>
      <c r="N52" s="13" t="str">
        <f>IF(AND(I52&gt;=0.008,I52&lt;0.01), "Add 50kcal", "")</f>
        <v/>
      </c>
      <c r="O52" s="13" t="str">
        <f>IF(I52&gt;=0.01, "Add 100kcal", "")</f>
        <v/>
      </c>
      <c r="P52" s="20"/>
      <c r="Q52" s="5" t="str">
        <f>IF(P52&gt;0,Q45+P52,"")</f>
        <v/>
      </c>
    </row>
    <row r="53" spans="1:18">
      <c r="A53" s="7">
        <f t="shared" si="0"/>
        <v>42199</v>
      </c>
      <c r="B53" s="27"/>
      <c r="C53" s="8"/>
      <c r="D53" s="9"/>
      <c r="E53" s="8"/>
      <c r="F53" s="8"/>
      <c r="G53" s="8"/>
      <c r="H53" s="8"/>
      <c r="I53" s="9"/>
      <c r="J53" s="9"/>
      <c r="K53" s="9"/>
      <c r="L53" s="8"/>
      <c r="M53" s="9"/>
      <c r="N53" s="9"/>
      <c r="O53" s="9"/>
      <c r="P53" s="19"/>
      <c r="Q53" s="10"/>
    </row>
    <row r="54" spans="1:18">
      <c r="A54" s="7">
        <f t="shared" si="0"/>
        <v>42200</v>
      </c>
      <c r="B54" s="27"/>
      <c r="C54" s="8"/>
      <c r="D54" s="9"/>
      <c r="E54" s="8"/>
      <c r="F54" s="8"/>
      <c r="G54" s="8"/>
      <c r="H54" s="8"/>
      <c r="I54" s="9"/>
      <c r="J54" s="9"/>
      <c r="K54" s="9"/>
      <c r="L54" s="8"/>
      <c r="M54" s="9"/>
      <c r="N54" s="9"/>
      <c r="O54" s="9"/>
      <c r="P54" s="19"/>
      <c r="Q54" s="10"/>
    </row>
    <row r="55" spans="1:18">
      <c r="A55" s="7">
        <f t="shared" si="0"/>
        <v>42201</v>
      </c>
      <c r="B55" s="27"/>
      <c r="C55" s="8"/>
      <c r="D55" s="9"/>
      <c r="E55" s="8"/>
      <c r="F55" s="8"/>
      <c r="G55" s="8"/>
      <c r="H55" s="8"/>
      <c r="I55" s="9"/>
      <c r="J55" s="9"/>
      <c r="K55" s="9"/>
      <c r="L55" s="8"/>
      <c r="M55" s="9"/>
      <c r="N55" s="9"/>
      <c r="O55" s="9"/>
      <c r="P55" s="19"/>
      <c r="Q55" s="10"/>
    </row>
    <row r="56" spans="1:18">
      <c r="A56" s="7">
        <f t="shared" si="0"/>
        <v>42202</v>
      </c>
      <c r="B56" s="27"/>
      <c r="C56" s="8"/>
      <c r="D56" s="9"/>
      <c r="E56" s="8"/>
      <c r="F56" s="8"/>
      <c r="G56" s="8"/>
      <c r="H56" s="8"/>
      <c r="I56" s="9"/>
      <c r="J56" s="9"/>
      <c r="K56" s="9"/>
      <c r="L56" s="8"/>
      <c r="M56" s="9"/>
      <c r="N56" s="9"/>
      <c r="O56" s="9"/>
      <c r="P56" s="19"/>
      <c r="Q56" s="10"/>
      <c r="R56" s="75" t="s">
        <v>113</v>
      </c>
    </row>
    <row r="57" spans="1:18">
      <c r="A57" s="7">
        <f t="shared" si="0"/>
        <v>42203</v>
      </c>
      <c r="B57" s="27"/>
      <c r="C57" s="8"/>
      <c r="D57" s="9"/>
      <c r="E57" s="8"/>
      <c r="F57" s="8"/>
      <c r="G57" s="8"/>
      <c r="H57" s="8"/>
      <c r="I57" s="9"/>
      <c r="J57" s="9"/>
      <c r="K57" s="9"/>
      <c r="L57" s="8"/>
      <c r="M57" s="9"/>
      <c r="N57" s="9"/>
      <c r="O57" s="9"/>
      <c r="P57" s="19"/>
      <c r="Q57" s="10"/>
    </row>
    <row r="58" spans="1:18">
      <c r="A58" s="7">
        <f t="shared" si="0"/>
        <v>42204</v>
      </c>
      <c r="B58" s="27"/>
      <c r="C58" s="8"/>
      <c r="D58" s="9"/>
      <c r="E58" s="8"/>
      <c r="F58" s="8"/>
      <c r="G58" s="8"/>
      <c r="H58" s="8"/>
      <c r="I58" s="9"/>
      <c r="J58" s="9"/>
      <c r="K58" s="9"/>
      <c r="L58" s="8"/>
      <c r="M58" s="9"/>
      <c r="N58" s="9"/>
      <c r="O58" s="9"/>
      <c r="P58" s="19"/>
      <c r="Q58" s="10"/>
    </row>
    <row r="59" spans="1:18">
      <c r="A59" s="7">
        <f t="shared" si="0"/>
        <v>42205</v>
      </c>
      <c r="B59" s="27"/>
      <c r="C59" s="27"/>
      <c r="D59" s="21"/>
      <c r="E59" s="27"/>
      <c r="F59" s="29">
        <f>IFERROR(IF(INPUTS!B60="Male", 86.01*LOG(C59-D59)-70.041*LOG(INPUTS!B$7)+30.3, 163.205*LOG('CUTTING TRACKER'!C59+'CUTTING TRACKER'!E59-'CUTTING TRACKER'!D59)-97.684*LOG(INPUTS!B$7)-104.912),0)</f>
        <v>0</v>
      </c>
      <c r="G59" s="29">
        <f>(B59)*((100-F59)/100)</f>
        <v>0</v>
      </c>
      <c r="H59" s="11" t="str">
        <f>IF(B59&gt;0, AVERAGE(B53:B59), " ")</f>
        <v xml:space="preserve"> </v>
      </c>
      <c r="I59" s="12">
        <f>IFERROR(IF(B59&gt;0, (H52-H59)/H52,0.007), 0)</f>
        <v>7.0000000000000001E-3</v>
      </c>
      <c r="J59" s="13" t="str">
        <f>IF(I59&lt;0, "Cut 200kcal", "")</f>
        <v/>
      </c>
      <c r="K59" s="13" t="str">
        <f>IF(AND(I59&lt;0.005, I59&gt;=0), "Cut 100kcal", "")</f>
        <v/>
      </c>
      <c r="L59" s="13" t="str">
        <f>IF(AND(I59&lt;0.006, I59&gt;=0.005), "Cut 50kcal", "")</f>
        <v/>
      </c>
      <c r="M59" s="13" t="str">
        <f>IF(AND(I59&lt;0.008, I59&gt;=0.006), "Remain Constant", "")</f>
        <v>Remain Constant</v>
      </c>
      <c r="N59" s="13" t="str">
        <f>IF(AND(I59&gt;=0.008,I59&lt;0.01), "Add 50kcal", "")</f>
        <v/>
      </c>
      <c r="O59" s="13" t="str">
        <f>IF(I59&gt;=0.01, "Add 100kcal", "")</f>
        <v/>
      </c>
      <c r="P59" s="20"/>
      <c r="Q59" s="5" t="str">
        <f>IF(P59&gt;0,Q52+P59,"")</f>
        <v/>
      </c>
    </row>
    <row r="60" spans="1:18">
      <c r="A60" s="7">
        <f t="shared" si="0"/>
        <v>42206</v>
      </c>
      <c r="B60" s="27"/>
      <c r="C60" s="8"/>
      <c r="D60" s="9"/>
      <c r="E60" s="8"/>
      <c r="F60" s="8"/>
      <c r="G60" s="8"/>
      <c r="H60" s="8"/>
      <c r="I60" s="9"/>
      <c r="J60" s="9"/>
      <c r="K60" s="9"/>
      <c r="L60" s="8"/>
      <c r="M60" s="9"/>
      <c r="N60" s="9"/>
      <c r="O60" s="9"/>
      <c r="P60" s="19"/>
      <c r="Q60" s="10"/>
    </row>
    <row r="61" spans="1:18">
      <c r="A61" s="7">
        <f t="shared" si="0"/>
        <v>42207</v>
      </c>
      <c r="B61" s="27"/>
      <c r="C61" s="8"/>
      <c r="D61" s="9"/>
      <c r="E61" s="8"/>
      <c r="F61" s="8"/>
      <c r="G61" s="8"/>
      <c r="H61" s="8"/>
      <c r="I61" s="9"/>
      <c r="J61" s="9"/>
      <c r="K61" s="9"/>
      <c r="L61" s="8"/>
      <c r="M61" s="9"/>
      <c r="N61" s="9"/>
      <c r="O61" s="9"/>
      <c r="P61" s="19"/>
      <c r="Q61" s="10"/>
    </row>
    <row r="62" spans="1:18">
      <c r="A62" s="7">
        <f t="shared" si="0"/>
        <v>42208</v>
      </c>
      <c r="B62" s="27"/>
      <c r="C62" s="8"/>
      <c r="D62" s="9"/>
      <c r="E62" s="8"/>
      <c r="F62" s="8"/>
      <c r="G62" s="8"/>
      <c r="H62" s="8"/>
      <c r="I62" s="9"/>
      <c r="J62" s="9"/>
      <c r="K62" s="9"/>
      <c r="L62" s="8"/>
      <c r="M62" s="9"/>
      <c r="N62" s="9"/>
      <c r="O62" s="9"/>
      <c r="P62" s="19"/>
      <c r="Q62" s="10"/>
    </row>
    <row r="63" spans="1:18">
      <c r="A63" s="7">
        <f t="shared" si="0"/>
        <v>42209</v>
      </c>
      <c r="B63" s="27"/>
      <c r="C63" s="8"/>
      <c r="D63" s="9"/>
      <c r="E63" s="8"/>
      <c r="F63" s="8"/>
      <c r="G63" s="8"/>
      <c r="H63" s="8"/>
      <c r="I63" s="9"/>
      <c r="J63" s="9"/>
      <c r="K63" s="9"/>
      <c r="L63" s="8"/>
      <c r="M63" s="9"/>
      <c r="N63" s="9"/>
      <c r="O63" s="9"/>
      <c r="P63" s="19"/>
      <c r="Q63" s="10"/>
    </row>
    <row r="64" spans="1:18">
      <c r="A64" s="7">
        <f t="shared" si="0"/>
        <v>42210</v>
      </c>
      <c r="B64" s="27"/>
      <c r="C64" s="8"/>
      <c r="D64" s="9"/>
      <c r="E64" s="8"/>
      <c r="F64" s="8"/>
      <c r="G64" s="8"/>
      <c r="H64" s="8"/>
      <c r="I64" s="9"/>
      <c r="J64" s="9"/>
      <c r="K64" s="9"/>
      <c r="L64" s="8"/>
      <c r="M64" s="9"/>
      <c r="N64" s="9"/>
      <c r="O64" s="9"/>
      <c r="P64" s="19"/>
      <c r="Q64" s="10"/>
      <c r="R64" s="75" t="s">
        <v>114</v>
      </c>
    </row>
    <row r="65" spans="1:18">
      <c r="A65" s="7">
        <f t="shared" si="0"/>
        <v>42211</v>
      </c>
      <c r="B65" s="27"/>
      <c r="C65" s="8"/>
      <c r="D65" s="9"/>
      <c r="E65" s="8"/>
      <c r="F65" s="8"/>
      <c r="G65" s="8"/>
      <c r="H65" s="8"/>
      <c r="I65" s="9"/>
      <c r="J65" s="9"/>
      <c r="K65" s="9"/>
      <c r="L65" s="8"/>
      <c r="M65" s="9"/>
      <c r="N65" s="9"/>
      <c r="O65" s="9"/>
      <c r="P65" s="19"/>
      <c r="Q65" s="10"/>
    </row>
    <row r="66" spans="1:18">
      <c r="A66" s="7">
        <f t="shared" si="0"/>
        <v>42212</v>
      </c>
      <c r="B66" s="27"/>
      <c r="C66" s="27"/>
      <c r="D66" s="21"/>
      <c r="E66" s="27"/>
      <c r="F66" s="29">
        <f>IFERROR(IF(INPUTS!B67="Male", 86.01*LOG(C66-D66)-70.041*LOG(INPUTS!B$7)+30.3, 163.205*LOG('CUTTING TRACKER'!C66+'CUTTING TRACKER'!E66-'CUTTING TRACKER'!D66)-97.684*LOG(INPUTS!B$7)-104.912),0)</f>
        <v>0</v>
      </c>
      <c r="G66" s="29">
        <f>(B66)*((100-F66)/100)</f>
        <v>0</v>
      </c>
      <c r="H66" s="11" t="str">
        <f>IF(B66&gt;0, AVERAGE(B60:B66), " ")</f>
        <v xml:space="preserve"> </v>
      </c>
      <c r="I66" s="12">
        <f>IFERROR(IF(B66&gt;0, (H59-H66)/H59,0.007), 0)</f>
        <v>7.0000000000000001E-3</v>
      </c>
      <c r="J66" s="13" t="str">
        <f>IF(I66&lt;0, "Cut 200kcal", "")</f>
        <v/>
      </c>
      <c r="K66" s="13" t="str">
        <f>IF(AND(I66&lt;0.005, I66&gt;=0), "Cut 100kcal", "")</f>
        <v/>
      </c>
      <c r="L66" s="13" t="str">
        <f>IF(AND(I66&lt;0.006, I66&gt;=0.005), "Cut 50kcal", "")</f>
        <v/>
      </c>
      <c r="M66" s="13" t="str">
        <f>IF(AND(I66&lt;0.008, I66&gt;=0.006), "Remain Constant", "")</f>
        <v>Remain Constant</v>
      </c>
      <c r="N66" s="13" t="str">
        <f>IF(AND(I66&gt;=0.008,I66&lt;0.01), "Add 50kcal", "")</f>
        <v/>
      </c>
      <c r="O66" s="13" t="str">
        <f>IF(I66&gt;=0.01, "Add 100kcal", "")</f>
        <v/>
      </c>
      <c r="P66" s="20"/>
      <c r="Q66" s="5" t="str">
        <f>IF(P66&gt;0,Q59+P66,"")</f>
        <v/>
      </c>
    </row>
    <row r="67" spans="1:18">
      <c r="A67" s="7">
        <f t="shared" si="0"/>
        <v>42213</v>
      </c>
      <c r="B67" s="27"/>
      <c r="C67" s="8"/>
      <c r="D67" s="9"/>
      <c r="E67" s="8"/>
      <c r="F67" s="8"/>
      <c r="G67" s="8"/>
      <c r="H67" s="8"/>
      <c r="I67" s="9"/>
      <c r="J67" s="9"/>
      <c r="K67" s="9"/>
      <c r="L67" s="8"/>
      <c r="M67" s="9"/>
      <c r="N67" s="9"/>
      <c r="O67" s="9"/>
      <c r="P67" s="19"/>
      <c r="Q67" s="10"/>
    </row>
    <row r="68" spans="1:18">
      <c r="A68" s="7">
        <f t="shared" si="0"/>
        <v>42214</v>
      </c>
      <c r="B68" s="27"/>
      <c r="C68" s="8"/>
      <c r="D68" s="9"/>
      <c r="E68" s="8"/>
      <c r="F68" s="8"/>
      <c r="G68" s="8"/>
      <c r="H68" s="8"/>
      <c r="I68" s="9"/>
      <c r="J68" s="9"/>
      <c r="K68" s="9"/>
      <c r="L68" s="8"/>
      <c r="M68" s="9"/>
      <c r="N68" s="9"/>
      <c r="O68" s="9"/>
      <c r="P68" s="19"/>
      <c r="Q68" s="10"/>
    </row>
    <row r="69" spans="1:18">
      <c r="A69" s="7">
        <f t="shared" ref="A69:A132" si="1">A68+1</f>
        <v>42215</v>
      </c>
      <c r="B69" s="27"/>
      <c r="C69" s="8"/>
      <c r="D69" s="9"/>
      <c r="E69" s="8"/>
      <c r="F69" s="8"/>
      <c r="G69" s="8"/>
      <c r="H69" s="8"/>
      <c r="I69" s="9"/>
      <c r="J69" s="9"/>
      <c r="K69" s="9"/>
      <c r="L69" s="8"/>
      <c r="M69" s="9"/>
      <c r="N69" s="9"/>
      <c r="O69" s="9"/>
      <c r="P69" s="19"/>
      <c r="Q69" s="10"/>
    </row>
    <row r="70" spans="1:18">
      <c r="A70" s="7">
        <f t="shared" si="1"/>
        <v>42216</v>
      </c>
      <c r="B70" s="27"/>
      <c r="C70" s="8"/>
      <c r="D70" s="9"/>
      <c r="E70" s="8"/>
      <c r="F70" s="8"/>
      <c r="G70" s="8"/>
      <c r="H70" s="8"/>
      <c r="I70" s="9"/>
      <c r="J70" s="9"/>
      <c r="K70" s="9"/>
      <c r="L70" s="8"/>
      <c r="M70" s="9"/>
      <c r="N70" s="9"/>
      <c r="O70" s="9"/>
      <c r="P70" s="19"/>
      <c r="Q70" s="10"/>
    </row>
    <row r="71" spans="1:18">
      <c r="A71" s="7">
        <f t="shared" si="1"/>
        <v>42217</v>
      </c>
      <c r="B71" s="27"/>
      <c r="C71" s="8"/>
      <c r="D71" s="9"/>
      <c r="E71" s="8"/>
      <c r="F71" s="8"/>
      <c r="G71" s="8"/>
      <c r="H71" s="8"/>
      <c r="I71" s="9"/>
      <c r="J71" s="9"/>
      <c r="K71" s="9"/>
      <c r="L71" s="8"/>
      <c r="M71" s="9"/>
      <c r="N71" s="9"/>
      <c r="O71" s="9"/>
      <c r="P71" s="19"/>
      <c r="Q71" s="10"/>
      <c r="R71" s="75" t="s">
        <v>115</v>
      </c>
    </row>
    <row r="72" spans="1:18">
      <c r="A72" s="7">
        <f t="shared" si="1"/>
        <v>42218</v>
      </c>
      <c r="B72" s="27"/>
      <c r="C72" s="8"/>
      <c r="D72" s="9"/>
      <c r="E72" s="8"/>
      <c r="F72" s="8"/>
      <c r="G72" s="8"/>
      <c r="H72" s="8"/>
      <c r="I72" s="9"/>
      <c r="J72" s="9"/>
      <c r="K72" s="9"/>
      <c r="L72" s="8"/>
      <c r="M72" s="9"/>
      <c r="N72" s="9"/>
      <c r="O72" s="9"/>
      <c r="P72" s="19"/>
      <c r="Q72" s="10"/>
    </row>
    <row r="73" spans="1:18">
      <c r="A73" s="7">
        <f t="shared" si="1"/>
        <v>42219</v>
      </c>
      <c r="B73" s="27"/>
      <c r="C73" s="27"/>
      <c r="D73" s="21"/>
      <c r="E73" s="27"/>
      <c r="F73" s="29">
        <f>IFERROR(IF(INPUTS!B74="Male", 86.01*LOG(C73-D73)-70.041*LOG(INPUTS!B$7)+30.3, 163.205*LOG('CUTTING TRACKER'!C73+'CUTTING TRACKER'!E73-'CUTTING TRACKER'!D73)-97.684*LOG(INPUTS!B$7)-104.912),0)</f>
        <v>0</v>
      </c>
      <c r="G73" s="29">
        <f>(B73)*((100-F73)/100)</f>
        <v>0</v>
      </c>
      <c r="H73" s="11" t="str">
        <f>IF(B73&gt;0, AVERAGE(B67:B73), " ")</f>
        <v xml:space="preserve"> </v>
      </c>
      <c r="I73" s="12">
        <f>IFERROR(IF(B73&gt;0, (H66-H73)/H66,0.007), 0)</f>
        <v>7.0000000000000001E-3</v>
      </c>
      <c r="J73" s="13" t="str">
        <f>IF(I73&lt;0, "Cut 200kcal", "")</f>
        <v/>
      </c>
      <c r="K73" s="13" t="str">
        <f>IF(AND(I73&lt;0.005, I73&gt;=0), "Cut 100kcal", "")</f>
        <v/>
      </c>
      <c r="L73" s="13" t="str">
        <f>IF(AND(I73&lt;0.006, I73&gt;=0.005), "Cut 50kcal", "")</f>
        <v/>
      </c>
      <c r="M73" s="13" t="str">
        <f>IF(AND(I73&lt;0.008, I73&gt;=0.006), "Remain Constant", "")</f>
        <v>Remain Constant</v>
      </c>
      <c r="N73" s="13" t="str">
        <f>IF(AND(I73&gt;=0.008,I73&lt;0.01), "Add 50kcal", "")</f>
        <v/>
      </c>
      <c r="O73" s="13" t="str">
        <f>IF(I73&gt;=0.01, "Add 100kcal", "")</f>
        <v/>
      </c>
      <c r="P73" s="20"/>
      <c r="Q73" s="5" t="str">
        <f>IF(P73&gt;0,Q66+P73,"")</f>
        <v/>
      </c>
    </row>
    <row r="74" spans="1:18">
      <c r="A74" s="7">
        <f t="shared" si="1"/>
        <v>42220</v>
      </c>
      <c r="B74" s="27"/>
      <c r="C74" s="8"/>
      <c r="D74" s="9"/>
      <c r="E74" s="8"/>
      <c r="F74" s="8"/>
      <c r="G74" s="8"/>
      <c r="H74" s="8"/>
      <c r="I74" s="9"/>
      <c r="J74" s="9"/>
      <c r="K74" s="9"/>
      <c r="L74" s="8"/>
      <c r="M74" s="9"/>
      <c r="N74" s="9"/>
      <c r="O74" s="9"/>
      <c r="P74" s="19"/>
      <c r="Q74" s="10"/>
    </row>
    <row r="75" spans="1:18">
      <c r="A75" s="7">
        <f t="shared" si="1"/>
        <v>42221</v>
      </c>
      <c r="B75" s="27"/>
      <c r="C75" s="8"/>
      <c r="D75" s="9"/>
      <c r="E75" s="8"/>
      <c r="F75" s="8"/>
      <c r="G75" s="8"/>
      <c r="H75" s="8"/>
      <c r="I75" s="9"/>
      <c r="J75" s="9"/>
      <c r="K75" s="9"/>
      <c r="L75" s="8"/>
      <c r="M75" s="9"/>
      <c r="N75" s="9"/>
      <c r="O75" s="9"/>
      <c r="P75" s="19"/>
      <c r="Q75" s="10"/>
    </row>
    <row r="76" spans="1:18">
      <c r="A76" s="7">
        <f t="shared" si="1"/>
        <v>42222</v>
      </c>
      <c r="B76" s="27"/>
      <c r="C76" s="8"/>
      <c r="D76" s="9"/>
      <c r="E76" s="8"/>
      <c r="F76" s="8"/>
      <c r="G76" s="8"/>
      <c r="H76" s="8"/>
      <c r="I76" s="9"/>
      <c r="J76" s="9"/>
      <c r="K76" s="9"/>
      <c r="L76" s="8"/>
      <c r="M76" s="9"/>
      <c r="N76" s="9"/>
      <c r="O76" s="9"/>
      <c r="P76" s="19"/>
      <c r="Q76" s="10"/>
    </row>
    <row r="77" spans="1:18">
      <c r="A77" s="7">
        <f t="shared" si="1"/>
        <v>42223</v>
      </c>
      <c r="B77" s="27"/>
      <c r="C77" s="8"/>
      <c r="D77" s="9"/>
      <c r="E77" s="8"/>
      <c r="F77" s="8"/>
      <c r="G77" s="8"/>
      <c r="H77" s="8"/>
      <c r="I77" s="9"/>
      <c r="J77" s="9"/>
      <c r="K77" s="9"/>
      <c r="L77" s="8"/>
      <c r="M77" s="9"/>
      <c r="N77" s="9"/>
      <c r="O77" s="9"/>
      <c r="P77" s="19"/>
      <c r="Q77" s="10"/>
    </row>
    <row r="78" spans="1:18">
      <c r="A78" s="7">
        <f t="shared" si="1"/>
        <v>42224</v>
      </c>
      <c r="B78" s="27"/>
      <c r="C78" s="8"/>
      <c r="D78" s="9"/>
      <c r="E78" s="8"/>
      <c r="F78" s="8"/>
      <c r="G78" s="8"/>
      <c r="H78" s="8"/>
      <c r="I78" s="9"/>
      <c r="J78" s="9"/>
      <c r="K78" s="9"/>
      <c r="L78" s="8"/>
      <c r="M78" s="9"/>
      <c r="N78" s="9"/>
      <c r="O78" s="9"/>
      <c r="P78" s="19"/>
      <c r="Q78" s="10"/>
      <c r="R78" s="75" t="s">
        <v>116</v>
      </c>
    </row>
    <row r="79" spans="1:18">
      <c r="A79" s="7">
        <f t="shared" si="1"/>
        <v>42225</v>
      </c>
      <c r="B79" s="27"/>
      <c r="C79" s="8"/>
      <c r="D79" s="9"/>
      <c r="E79" s="8"/>
      <c r="F79" s="8"/>
      <c r="G79" s="8"/>
      <c r="H79" s="8"/>
      <c r="I79" s="9"/>
      <c r="J79" s="9"/>
      <c r="K79" s="9"/>
      <c r="L79" s="8"/>
      <c r="M79" s="9"/>
      <c r="N79" s="9"/>
      <c r="O79" s="9"/>
      <c r="P79" s="19"/>
      <c r="Q79" s="10"/>
    </row>
    <row r="80" spans="1:18">
      <c r="A80" s="7">
        <f t="shared" si="1"/>
        <v>42226</v>
      </c>
      <c r="B80" s="27"/>
      <c r="C80" s="27"/>
      <c r="D80" s="21"/>
      <c r="E80" s="27"/>
      <c r="F80" s="29">
        <f>IFERROR(IF(INPUTS!B81="Male", 86.01*LOG(C80-D80)-70.041*LOG(INPUTS!B$7)+30.3, 163.205*LOG('CUTTING TRACKER'!C80+'CUTTING TRACKER'!E80-'CUTTING TRACKER'!D80)-97.684*LOG(INPUTS!B$7)-104.912),0)</f>
        <v>0</v>
      </c>
      <c r="G80" s="29">
        <f>(B80)*((100-F80)/100)</f>
        <v>0</v>
      </c>
      <c r="H80" s="11" t="str">
        <f>IF(B80&gt;0, AVERAGE(B74:B80), " ")</f>
        <v xml:space="preserve"> </v>
      </c>
      <c r="I80" s="12">
        <f>IFERROR(IF(B80&gt;0, (H73-H80)/H73,0.007), 0)</f>
        <v>7.0000000000000001E-3</v>
      </c>
      <c r="J80" s="13" t="str">
        <f>IF(I80&lt;0, "Cut 200kcal", "")</f>
        <v/>
      </c>
      <c r="K80" s="13" t="str">
        <f>IF(AND(I80&lt;0.005, I80&gt;=0), "Cut 100kcal", "")</f>
        <v/>
      </c>
      <c r="L80" s="13" t="str">
        <f>IF(AND(I80&lt;0.006, I80&gt;=0.005), "Cut 50kcal", "")</f>
        <v/>
      </c>
      <c r="M80" s="13" t="str">
        <f>IF(AND(I80&lt;0.008, I80&gt;=0.006), "Remain Constant", "")</f>
        <v>Remain Constant</v>
      </c>
      <c r="N80" s="13" t="str">
        <f>IF(AND(I80&gt;=0.008,I80&lt;0.01), "Add 50kcal", "")</f>
        <v/>
      </c>
      <c r="O80" s="13" t="str">
        <f>IF(I80&gt;=0.01, "Add 100kcal", "")</f>
        <v/>
      </c>
      <c r="P80" s="20"/>
      <c r="Q80" s="5" t="str">
        <f>IF(P80&gt;0,Q73+P80,"")</f>
        <v/>
      </c>
    </row>
    <row r="81" spans="1:18">
      <c r="A81" s="7">
        <f t="shared" si="1"/>
        <v>42227</v>
      </c>
      <c r="B81" s="27"/>
      <c r="C81" s="8"/>
      <c r="D81" s="9"/>
      <c r="E81" s="8"/>
      <c r="F81" s="8"/>
      <c r="G81" s="8"/>
      <c r="H81" s="8"/>
      <c r="I81" s="9"/>
      <c r="J81" s="9"/>
      <c r="K81" s="9"/>
      <c r="L81" s="8"/>
      <c r="M81" s="9"/>
      <c r="N81" s="9"/>
      <c r="O81" s="9"/>
      <c r="P81" s="19"/>
      <c r="Q81" s="10"/>
    </row>
    <row r="82" spans="1:18">
      <c r="A82" s="7">
        <f t="shared" si="1"/>
        <v>42228</v>
      </c>
      <c r="B82" s="27"/>
      <c r="C82" s="8"/>
      <c r="D82" s="9"/>
      <c r="E82" s="8"/>
      <c r="F82" s="8"/>
      <c r="G82" s="8"/>
      <c r="H82" s="8"/>
      <c r="I82" s="9"/>
      <c r="J82" s="9"/>
      <c r="K82" s="9"/>
      <c r="L82" s="8"/>
      <c r="M82" s="9"/>
      <c r="N82" s="9"/>
      <c r="O82" s="9"/>
      <c r="P82" s="19"/>
      <c r="Q82" s="10"/>
    </row>
    <row r="83" spans="1:18">
      <c r="A83" s="7">
        <f t="shared" si="1"/>
        <v>42229</v>
      </c>
      <c r="B83" s="27"/>
      <c r="C83" s="8"/>
      <c r="D83" s="9"/>
      <c r="E83" s="8"/>
      <c r="F83" s="8"/>
      <c r="G83" s="8"/>
      <c r="H83" s="8"/>
      <c r="I83" s="9"/>
      <c r="J83" s="9"/>
      <c r="K83" s="9"/>
      <c r="L83" s="8"/>
      <c r="M83" s="9"/>
      <c r="N83" s="9"/>
      <c r="O83" s="9"/>
      <c r="P83" s="19"/>
      <c r="Q83" s="10"/>
    </row>
    <row r="84" spans="1:18">
      <c r="A84" s="7">
        <f t="shared" si="1"/>
        <v>42230</v>
      </c>
      <c r="B84" s="27"/>
      <c r="C84" s="8"/>
      <c r="D84" s="9"/>
      <c r="E84" s="8"/>
      <c r="F84" s="8"/>
      <c r="G84" s="8"/>
      <c r="H84" s="8"/>
      <c r="I84" s="9"/>
      <c r="J84" s="9"/>
      <c r="K84" s="9"/>
      <c r="L84" s="8"/>
      <c r="M84" s="9"/>
      <c r="N84" s="9"/>
      <c r="O84" s="9"/>
      <c r="P84" s="19"/>
      <c r="Q84" s="10"/>
    </row>
    <row r="85" spans="1:18">
      <c r="A85" s="128">
        <f t="shared" si="1"/>
        <v>42231</v>
      </c>
      <c r="B85" s="27"/>
      <c r="C85" s="8"/>
      <c r="D85" s="9"/>
      <c r="E85" s="8"/>
      <c r="F85" s="8"/>
      <c r="G85" s="8"/>
      <c r="H85" s="8"/>
      <c r="I85" s="9"/>
      <c r="J85" s="9"/>
      <c r="K85" s="9"/>
      <c r="L85" s="8"/>
      <c r="M85" s="9"/>
      <c r="N85" s="9"/>
      <c r="O85" s="9"/>
      <c r="P85" s="19"/>
      <c r="Q85" s="10"/>
      <c r="R85" s="75" t="s">
        <v>117</v>
      </c>
    </row>
    <row r="86" spans="1:18">
      <c r="A86" s="7">
        <f t="shared" si="1"/>
        <v>42232</v>
      </c>
      <c r="B86" s="27"/>
      <c r="C86" s="8"/>
      <c r="D86" s="9"/>
      <c r="E86" s="8"/>
      <c r="F86" s="8"/>
      <c r="G86" s="8"/>
      <c r="H86" s="8"/>
      <c r="I86" s="9"/>
      <c r="J86" s="9"/>
      <c r="K86" s="9"/>
      <c r="L86" s="8"/>
      <c r="M86" s="9"/>
      <c r="N86" s="9"/>
      <c r="O86" s="9"/>
      <c r="P86" s="19"/>
      <c r="Q86" s="10"/>
    </row>
    <row r="87" spans="1:18">
      <c r="A87" s="7">
        <f t="shared" si="1"/>
        <v>42233</v>
      </c>
      <c r="B87" s="27"/>
      <c r="C87" s="27"/>
      <c r="D87" s="21"/>
      <c r="E87" s="27"/>
      <c r="F87" s="29">
        <f>IFERROR(IF(INPUTS!B88="Male", 86.01*LOG(C87-D87)-70.041*LOG(INPUTS!B$7)+30.3, 163.205*LOG('CUTTING TRACKER'!C87+'CUTTING TRACKER'!E87-'CUTTING TRACKER'!D87)-97.684*LOG(INPUTS!B$7)-104.912),0)</f>
        <v>0</v>
      </c>
      <c r="G87" s="29">
        <f>(B87)*((100-F87)/100)</f>
        <v>0</v>
      </c>
      <c r="H87" s="11" t="str">
        <f>IF(B87&gt;0, AVERAGE(B81:B87), " ")</f>
        <v xml:space="preserve"> </v>
      </c>
      <c r="I87" s="12">
        <f>IFERROR(IF(B87&gt;0, (H80-H87)/H80,0.007), 0)</f>
        <v>7.0000000000000001E-3</v>
      </c>
      <c r="J87" s="13" t="str">
        <f>IF(I87&lt;0, "Cut 200kcal", "")</f>
        <v/>
      </c>
      <c r="K87" s="13" t="str">
        <f>IF(AND(I87&lt;0.005, I87&gt;=0), "Cut 100kcal", "")</f>
        <v/>
      </c>
      <c r="L87" s="13" t="str">
        <f>IF(AND(I87&lt;0.006, I87&gt;=0.005), "Cut 50kcal", "")</f>
        <v/>
      </c>
      <c r="M87" s="13" t="str">
        <f>IF(AND(I87&lt;0.008, I87&gt;=0.006), "Remain Constant", "")</f>
        <v>Remain Constant</v>
      </c>
      <c r="N87" s="13" t="str">
        <f>IF(AND(I87&gt;=0.008,I87&lt;0.01), "Add 50kcal", "")</f>
        <v/>
      </c>
      <c r="O87" s="13" t="str">
        <f>IF(I87&gt;=0.01, "Add 100kcal", "")</f>
        <v/>
      </c>
      <c r="P87" s="20"/>
      <c r="Q87" s="5" t="str">
        <f>IF(P87&gt;0,Q80+P87,"")</f>
        <v/>
      </c>
    </row>
    <row r="88" spans="1:18">
      <c r="A88" s="7">
        <f t="shared" si="1"/>
        <v>42234</v>
      </c>
      <c r="B88" s="27"/>
      <c r="C88" s="8"/>
      <c r="D88" s="9"/>
      <c r="E88" s="8"/>
      <c r="F88" s="8"/>
      <c r="G88" s="8"/>
      <c r="H88" s="8"/>
      <c r="I88" s="9"/>
      <c r="J88" s="9"/>
      <c r="K88" s="9"/>
      <c r="L88" s="8"/>
      <c r="M88" s="9"/>
      <c r="N88" s="9"/>
      <c r="O88" s="9"/>
      <c r="P88" s="19"/>
      <c r="Q88" s="10"/>
    </row>
    <row r="89" spans="1:18">
      <c r="A89" s="7">
        <f t="shared" si="1"/>
        <v>42235</v>
      </c>
      <c r="B89" s="27"/>
      <c r="C89" s="8"/>
      <c r="D89" s="9"/>
      <c r="E89" s="8"/>
      <c r="F89" s="8"/>
      <c r="G89" s="8"/>
      <c r="H89" s="8"/>
      <c r="I89" s="9"/>
      <c r="J89" s="9"/>
      <c r="K89" s="9"/>
      <c r="L89" s="8"/>
      <c r="M89" s="9"/>
      <c r="N89" s="9"/>
      <c r="O89" s="9"/>
      <c r="P89" s="19"/>
      <c r="Q89" s="10"/>
    </row>
    <row r="90" spans="1:18">
      <c r="A90" s="7">
        <f t="shared" si="1"/>
        <v>42236</v>
      </c>
      <c r="B90" s="27"/>
      <c r="C90" s="8"/>
      <c r="D90" s="9"/>
      <c r="E90" s="8"/>
      <c r="F90" s="8"/>
      <c r="G90" s="8"/>
      <c r="H90" s="8"/>
      <c r="I90" s="9"/>
      <c r="J90" s="9"/>
      <c r="K90" s="9"/>
      <c r="L90" s="8"/>
      <c r="M90" s="9"/>
      <c r="N90" s="9"/>
      <c r="O90" s="9"/>
      <c r="P90" s="19"/>
      <c r="Q90" s="10"/>
    </row>
    <row r="91" spans="1:18">
      <c r="A91" s="7">
        <f t="shared" si="1"/>
        <v>42237</v>
      </c>
      <c r="B91" s="27"/>
      <c r="C91" s="8"/>
      <c r="D91" s="9"/>
      <c r="E91" s="8"/>
      <c r="F91" s="8"/>
      <c r="G91" s="8"/>
      <c r="H91" s="8"/>
      <c r="I91" s="9"/>
      <c r="J91" s="9"/>
      <c r="K91" s="9"/>
      <c r="L91" s="8"/>
      <c r="M91" s="9"/>
      <c r="N91" s="9"/>
      <c r="O91" s="9"/>
      <c r="P91" s="19"/>
      <c r="Q91" s="10"/>
    </row>
    <row r="92" spans="1:18">
      <c r="A92" s="7">
        <f t="shared" si="1"/>
        <v>42238</v>
      </c>
      <c r="B92" s="27"/>
      <c r="C92" s="8"/>
      <c r="D92" s="9"/>
      <c r="E92" s="8"/>
      <c r="F92" s="8"/>
      <c r="G92" s="8"/>
      <c r="H92" s="8"/>
      <c r="I92" s="9"/>
      <c r="J92" s="9"/>
      <c r="K92" s="9"/>
      <c r="L92" s="8"/>
      <c r="M92" s="9"/>
      <c r="N92" s="9"/>
      <c r="O92" s="9"/>
      <c r="P92" s="19"/>
      <c r="Q92" s="10"/>
    </row>
    <row r="93" spans="1:18">
      <c r="A93" s="7">
        <f t="shared" si="1"/>
        <v>42239</v>
      </c>
      <c r="B93" s="27"/>
      <c r="C93" s="8"/>
      <c r="D93" s="9"/>
      <c r="E93" s="8"/>
      <c r="F93" s="8"/>
      <c r="G93" s="8"/>
      <c r="H93" s="8"/>
      <c r="I93" s="9"/>
      <c r="J93" s="9"/>
      <c r="K93" s="9"/>
      <c r="L93" s="8"/>
      <c r="M93" s="9"/>
      <c r="N93" s="9"/>
      <c r="O93" s="9"/>
      <c r="P93" s="19"/>
      <c r="Q93" s="10"/>
    </row>
    <row r="94" spans="1:18">
      <c r="A94" s="7">
        <f t="shared" si="1"/>
        <v>42240</v>
      </c>
      <c r="B94" s="27"/>
      <c r="C94" s="27"/>
      <c r="D94" s="21"/>
      <c r="E94" s="27"/>
      <c r="F94" s="29">
        <f>IFERROR(IF(INPUTS!B95="Male", 86.01*LOG(C94-D94)-70.041*LOG(INPUTS!B$7)+30.3, 163.205*LOG('CUTTING TRACKER'!C94+'CUTTING TRACKER'!E94-'CUTTING TRACKER'!D94)-97.684*LOG(INPUTS!B$7)-104.912),0)</f>
        <v>0</v>
      </c>
      <c r="G94" s="29">
        <f>(B94)*((100-F94)/100)</f>
        <v>0</v>
      </c>
      <c r="H94" s="11" t="str">
        <f>IF(B94&gt;0, AVERAGE(B88:B94), " ")</f>
        <v xml:space="preserve"> </v>
      </c>
      <c r="I94" s="12">
        <f>IFERROR(IF(B94&gt;0, (H87-H94)/H87,0.007), 0)</f>
        <v>7.0000000000000001E-3</v>
      </c>
      <c r="J94" s="13" t="str">
        <f>IF(I94&lt;0, "Cut 200kcal", "")</f>
        <v/>
      </c>
      <c r="K94" s="13" t="str">
        <f>IF(AND(I94&lt;0.005, I94&gt;=0), "Cut 100kcal", "")</f>
        <v/>
      </c>
      <c r="L94" s="13" t="str">
        <f>IF(AND(I94&lt;0.006, I94&gt;=0.005), "Cut 50kcal", "")</f>
        <v/>
      </c>
      <c r="M94" s="13" t="str">
        <f>IF(AND(I94&lt;0.008, I94&gt;=0.006), "Remain Constant", "")</f>
        <v>Remain Constant</v>
      </c>
      <c r="N94" s="13" t="str">
        <f>IF(AND(I94&gt;=0.008,I94&lt;0.01), "Add 50kcal", "")</f>
        <v/>
      </c>
      <c r="O94" s="13" t="str">
        <f>IF(I94&gt;=0.01, "Add 100kcal", "")</f>
        <v/>
      </c>
      <c r="P94" s="20"/>
      <c r="Q94" s="5" t="str">
        <f>IF(P94&gt;0,Q87+P94,"")</f>
        <v/>
      </c>
    </row>
    <row r="95" spans="1:18">
      <c r="A95" s="7">
        <f t="shared" si="1"/>
        <v>42241</v>
      </c>
      <c r="B95" s="27"/>
      <c r="C95" s="8"/>
      <c r="D95" s="9"/>
      <c r="E95" s="8"/>
      <c r="F95" s="8"/>
      <c r="G95" s="8"/>
      <c r="H95" s="8"/>
      <c r="I95" s="9"/>
      <c r="J95" s="9"/>
      <c r="K95" s="9"/>
      <c r="L95" s="8"/>
      <c r="M95" s="9"/>
      <c r="N95" s="9"/>
      <c r="O95" s="9"/>
      <c r="P95" s="19"/>
      <c r="Q95" s="10"/>
    </row>
    <row r="96" spans="1:18">
      <c r="A96" s="7">
        <f t="shared" si="1"/>
        <v>42242</v>
      </c>
      <c r="B96" s="27"/>
      <c r="C96" s="8"/>
      <c r="D96" s="9"/>
      <c r="E96" s="8"/>
      <c r="F96" s="8"/>
      <c r="G96" s="8"/>
      <c r="H96" s="8"/>
      <c r="I96" s="9"/>
      <c r="J96" s="9"/>
      <c r="K96" s="9"/>
      <c r="L96" s="8"/>
      <c r="M96" s="9"/>
      <c r="N96" s="9"/>
      <c r="O96" s="9"/>
      <c r="P96" s="19"/>
      <c r="Q96" s="10"/>
    </row>
    <row r="97" spans="1:17">
      <c r="A97" s="7">
        <f t="shared" si="1"/>
        <v>42243</v>
      </c>
      <c r="B97" s="27"/>
      <c r="C97" s="8"/>
      <c r="D97" s="9"/>
      <c r="E97" s="8"/>
      <c r="F97" s="8"/>
      <c r="G97" s="8"/>
      <c r="H97" s="8"/>
      <c r="I97" s="9"/>
      <c r="J97" s="9"/>
      <c r="K97" s="9"/>
      <c r="L97" s="8"/>
      <c r="M97" s="9"/>
      <c r="N97" s="9"/>
      <c r="O97" s="9"/>
      <c r="P97" s="19"/>
      <c r="Q97" s="10"/>
    </row>
    <row r="98" spans="1:17">
      <c r="A98" s="7">
        <f t="shared" si="1"/>
        <v>42244</v>
      </c>
      <c r="B98" s="27"/>
      <c r="C98" s="8"/>
      <c r="D98" s="9"/>
      <c r="E98" s="8"/>
      <c r="F98" s="8"/>
      <c r="G98" s="8"/>
      <c r="H98" s="8"/>
      <c r="I98" s="9"/>
      <c r="J98" s="9"/>
      <c r="K98" s="9"/>
      <c r="L98" s="8"/>
      <c r="M98" s="9"/>
      <c r="N98" s="9"/>
      <c r="O98" s="9"/>
      <c r="P98" s="19"/>
      <c r="Q98" s="10"/>
    </row>
    <row r="99" spans="1:17">
      <c r="A99" s="7">
        <f t="shared" si="1"/>
        <v>42245</v>
      </c>
      <c r="B99" s="27"/>
      <c r="C99" s="8"/>
      <c r="D99" s="9"/>
      <c r="E99" s="8"/>
      <c r="F99" s="8"/>
      <c r="G99" s="8"/>
      <c r="H99" s="8"/>
      <c r="I99" s="9"/>
      <c r="J99" s="9"/>
      <c r="K99" s="9"/>
      <c r="L99" s="8"/>
      <c r="M99" s="9"/>
      <c r="N99" s="9"/>
      <c r="O99" s="9"/>
      <c r="P99" s="19"/>
      <c r="Q99" s="10"/>
    </row>
    <row r="100" spans="1:17">
      <c r="A100" s="7">
        <f t="shared" si="1"/>
        <v>42246</v>
      </c>
      <c r="B100" s="27"/>
      <c r="C100" s="8"/>
      <c r="D100" s="9"/>
      <c r="E100" s="8"/>
      <c r="F100" s="8"/>
      <c r="G100" s="8"/>
      <c r="H100" s="8"/>
      <c r="I100" s="9"/>
      <c r="J100" s="9"/>
      <c r="K100" s="9"/>
      <c r="L100" s="8"/>
      <c r="M100" s="9"/>
      <c r="N100" s="9"/>
      <c r="O100" s="9"/>
      <c r="P100" s="19"/>
      <c r="Q100" s="10"/>
    </row>
    <row r="101" spans="1:17">
      <c r="A101" s="7">
        <f t="shared" si="1"/>
        <v>42247</v>
      </c>
      <c r="B101" s="27"/>
      <c r="C101" s="27"/>
      <c r="D101" s="21"/>
      <c r="E101" s="27"/>
      <c r="F101" s="29">
        <f>IFERROR(IF(INPUTS!B102="Male", 86.01*LOG(C101-D101)-70.041*LOG(INPUTS!B$7)+30.3, 163.205*LOG('CUTTING TRACKER'!C101+'CUTTING TRACKER'!E101-'CUTTING TRACKER'!D101)-97.684*LOG(INPUTS!B$7)-104.912),0)</f>
        <v>0</v>
      </c>
      <c r="G101" s="29">
        <f>(B101)*((100-F101)/100)</f>
        <v>0</v>
      </c>
      <c r="H101" s="11" t="str">
        <f>IF(B101&gt;0, AVERAGE(B95:B101), " ")</f>
        <v xml:space="preserve"> </v>
      </c>
      <c r="I101" s="12">
        <f>IFERROR(IF(B101&gt;0, (H94-H101)/H94,0.007), 0)</f>
        <v>7.0000000000000001E-3</v>
      </c>
      <c r="J101" s="13" t="str">
        <f>IF(I101&lt;0, "Cut 200kcal", "")</f>
        <v/>
      </c>
      <c r="K101" s="13" t="str">
        <f>IF(AND(I101&lt;0.005, I101&gt;=0), "Cut 100kcal", "")</f>
        <v/>
      </c>
      <c r="L101" s="13" t="str">
        <f>IF(AND(I101&lt;0.006, I101&gt;=0.005), "Cut 50kcal", "")</f>
        <v/>
      </c>
      <c r="M101" s="13" t="str">
        <f>IF(AND(I101&lt;0.008, I101&gt;=0.006), "Remain Constant", "")</f>
        <v>Remain Constant</v>
      </c>
      <c r="N101" s="13" t="str">
        <f>IF(AND(I101&gt;=0.008,I101&lt;0.01), "Add 50kcal", "")</f>
        <v/>
      </c>
      <c r="O101" s="13" t="str">
        <f>IF(I101&gt;=0.01, "Add 100kcal", "")</f>
        <v/>
      </c>
      <c r="P101" s="20"/>
      <c r="Q101" s="5" t="str">
        <f>IF(P101&gt;0,Q94+P101,"")</f>
        <v/>
      </c>
    </row>
    <row r="102" spans="1:17">
      <c r="A102" s="7">
        <f t="shared" si="1"/>
        <v>42248</v>
      </c>
      <c r="B102" s="27"/>
      <c r="C102" s="8"/>
      <c r="D102" s="9"/>
      <c r="E102" s="8"/>
      <c r="F102" s="8"/>
      <c r="G102" s="8"/>
      <c r="H102" s="8"/>
      <c r="I102" s="9"/>
      <c r="J102" s="9"/>
      <c r="K102" s="9"/>
      <c r="L102" s="8"/>
      <c r="M102" s="9"/>
      <c r="N102" s="9"/>
      <c r="O102" s="9"/>
      <c r="P102" s="19"/>
      <c r="Q102" s="10"/>
    </row>
    <row r="103" spans="1:17">
      <c r="A103" s="7">
        <f t="shared" si="1"/>
        <v>42249</v>
      </c>
      <c r="B103" s="27"/>
      <c r="C103" s="8"/>
      <c r="D103" s="9"/>
      <c r="E103" s="8"/>
      <c r="F103" s="8"/>
      <c r="G103" s="8"/>
      <c r="H103" s="8"/>
      <c r="I103" s="9"/>
      <c r="J103" s="9"/>
      <c r="K103" s="9"/>
      <c r="L103" s="8"/>
      <c r="M103" s="9"/>
      <c r="N103" s="9"/>
      <c r="O103" s="9"/>
      <c r="P103" s="19"/>
      <c r="Q103" s="10"/>
    </row>
    <row r="104" spans="1:17">
      <c r="A104" s="7">
        <f t="shared" si="1"/>
        <v>42250</v>
      </c>
      <c r="B104" s="27"/>
      <c r="C104" s="8"/>
      <c r="D104" s="9"/>
      <c r="E104" s="8"/>
      <c r="F104" s="8"/>
      <c r="G104" s="8"/>
      <c r="H104" s="8"/>
      <c r="I104" s="9"/>
      <c r="J104" s="9"/>
      <c r="K104" s="9"/>
      <c r="L104" s="8"/>
      <c r="M104" s="9"/>
      <c r="N104" s="9"/>
      <c r="O104" s="9"/>
      <c r="P104" s="19"/>
      <c r="Q104" s="10"/>
    </row>
    <row r="105" spans="1:17">
      <c r="A105" s="7">
        <f t="shared" si="1"/>
        <v>42251</v>
      </c>
      <c r="B105" s="27"/>
      <c r="C105" s="8"/>
      <c r="D105" s="9"/>
      <c r="E105" s="8"/>
      <c r="F105" s="8"/>
      <c r="G105" s="8"/>
      <c r="H105" s="8"/>
      <c r="I105" s="9"/>
      <c r="J105" s="9"/>
      <c r="K105" s="9"/>
      <c r="L105" s="8"/>
      <c r="M105" s="9"/>
      <c r="N105" s="9"/>
      <c r="O105" s="9"/>
      <c r="P105" s="19"/>
      <c r="Q105" s="10"/>
    </row>
    <row r="106" spans="1:17">
      <c r="A106" s="7">
        <f t="shared" si="1"/>
        <v>42252</v>
      </c>
      <c r="B106" s="27"/>
      <c r="C106" s="8"/>
      <c r="D106" s="9"/>
      <c r="E106" s="8"/>
      <c r="F106" s="8"/>
      <c r="G106" s="8"/>
      <c r="H106" s="8"/>
      <c r="I106" s="9"/>
      <c r="J106" s="9"/>
      <c r="K106" s="9"/>
      <c r="L106" s="8"/>
      <c r="M106" s="9"/>
      <c r="N106" s="9"/>
      <c r="O106" s="9"/>
      <c r="P106" s="19"/>
      <c r="Q106" s="10"/>
    </row>
    <row r="107" spans="1:17">
      <c r="A107" s="7">
        <f t="shared" si="1"/>
        <v>42253</v>
      </c>
      <c r="B107" s="27"/>
      <c r="C107" s="8"/>
      <c r="D107" s="9"/>
      <c r="E107" s="8"/>
      <c r="F107" s="8"/>
      <c r="G107" s="8"/>
      <c r="H107" s="8"/>
      <c r="I107" s="9"/>
      <c r="J107" s="9"/>
      <c r="K107" s="9"/>
      <c r="L107" s="8"/>
      <c r="M107" s="9"/>
      <c r="N107" s="9"/>
      <c r="O107" s="9"/>
      <c r="P107" s="19"/>
      <c r="Q107" s="10"/>
    </row>
    <row r="108" spans="1:17">
      <c r="A108" s="7">
        <f t="shared" si="1"/>
        <v>42254</v>
      </c>
      <c r="B108" s="27"/>
      <c r="C108" s="27"/>
      <c r="D108" s="21"/>
      <c r="E108" s="27"/>
      <c r="F108" s="29">
        <f>IFERROR(IF(INPUTS!B109="Male", 86.01*LOG(C108-D108)-70.041*LOG(INPUTS!B$7)+30.3, 163.205*LOG('CUTTING TRACKER'!C108+'CUTTING TRACKER'!E108-'CUTTING TRACKER'!D108)-97.684*LOG(INPUTS!B$7)-104.912),0)</f>
        <v>0</v>
      </c>
      <c r="G108" s="29">
        <f>(B108)*((100-F108)/100)</f>
        <v>0</v>
      </c>
      <c r="H108" s="11" t="str">
        <f>IF(B108&gt;0, AVERAGE(B102:B108), " ")</f>
        <v xml:space="preserve"> </v>
      </c>
      <c r="I108" s="12">
        <f>IFERROR(IF(B108&gt;0, (H101-H108)/H101,0.007), 0)</f>
        <v>7.0000000000000001E-3</v>
      </c>
      <c r="J108" s="13" t="str">
        <f>IF(I108&lt;0, "Cut 200kcal", "")</f>
        <v/>
      </c>
      <c r="K108" s="13" t="str">
        <f>IF(AND(I108&lt;0.005, I108&gt;=0), "Cut 100kcal", "")</f>
        <v/>
      </c>
      <c r="L108" s="13" t="str">
        <f>IF(AND(I108&lt;0.006, I108&gt;=0.005), "Cut 50kcal", "")</f>
        <v/>
      </c>
      <c r="M108" s="13" t="str">
        <f>IF(AND(I108&lt;0.008, I108&gt;=0.006), "Remain Constant", "")</f>
        <v>Remain Constant</v>
      </c>
      <c r="N108" s="13" t="str">
        <f>IF(AND(I108&gt;=0.008,I108&lt;0.01), "Add 50kcal", "")</f>
        <v/>
      </c>
      <c r="O108" s="13" t="str">
        <f>IF(I108&gt;=0.01, "Add 100kcal", "")</f>
        <v/>
      </c>
      <c r="P108" s="20"/>
      <c r="Q108" s="5" t="str">
        <f>IF(P108&gt;0,Q101+P108,"")</f>
        <v/>
      </c>
    </row>
    <row r="109" spans="1:17">
      <c r="A109" s="7">
        <f t="shared" si="1"/>
        <v>42255</v>
      </c>
      <c r="B109" s="27"/>
      <c r="C109" s="8"/>
      <c r="D109" s="9"/>
      <c r="E109" s="8"/>
      <c r="F109" s="8"/>
      <c r="G109" s="8"/>
      <c r="H109" s="8"/>
      <c r="I109" s="9"/>
      <c r="J109" s="9"/>
      <c r="K109" s="9"/>
      <c r="L109" s="8"/>
      <c r="M109" s="9"/>
      <c r="N109" s="9"/>
      <c r="O109" s="9"/>
      <c r="P109" s="19"/>
      <c r="Q109" s="10"/>
    </row>
    <row r="110" spans="1:17">
      <c r="A110" s="7">
        <f t="shared" si="1"/>
        <v>42256</v>
      </c>
      <c r="B110" s="27"/>
      <c r="C110" s="8"/>
      <c r="D110" s="9"/>
      <c r="E110" s="8"/>
      <c r="F110" s="8"/>
      <c r="G110" s="8"/>
      <c r="H110" s="8"/>
      <c r="I110" s="9"/>
      <c r="J110" s="9"/>
      <c r="K110" s="9"/>
      <c r="L110" s="8"/>
      <c r="M110" s="9"/>
      <c r="N110" s="9"/>
      <c r="O110" s="9"/>
      <c r="P110" s="19"/>
      <c r="Q110" s="10"/>
    </row>
    <row r="111" spans="1:17">
      <c r="A111" s="7">
        <f t="shared" si="1"/>
        <v>42257</v>
      </c>
      <c r="B111" s="27"/>
      <c r="C111" s="8"/>
      <c r="D111" s="9"/>
      <c r="E111" s="8"/>
      <c r="F111" s="8"/>
      <c r="G111" s="8"/>
      <c r="H111" s="8"/>
      <c r="I111" s="9"/>
      <c r="J111" s="9"/>
      <c r="K111" s="9"/>
      <c r="L111" s="8"/>
      <c r="M111" s="9"/>
      <c r="N111" s="9"/>
      <c r="O111" s="9"/>
      <c r="P111" s="19"/>
      <c r="Q111" s="10"/>
    </row>
    <row r="112" spans="1:17">
      <c r="A112" s="7">
        <f t="shared" si="1"/>
        <v>42258</v>
      </c>
      <c r="B112" s="27"/>
      <c r="C112" s="8"/>
      <c r="D112" s="9"/>
      <c r="E112" s="8"/>
      <c r="F112" s="8"/>
      <c r="G112" s="8"/>
      <c r="H112" s="8"/>
      <c r="I112" s="9"/>
      <c r="J112" s="9"/>
      <c r="K112" s="9"/>
      <c r="L112" s="8"/>
      <c r="M112" s="9"/>
      <c r="N112" s="9"/>
      <c r="O112" s="9"/>
      <c r="P112" s="19"/>
      <c r="Q112" s="10"/>
    </row>
    <row r="113" spans="1:17">
      <c r="A113" s="7">
        <f t="shared" si="1"/>
        <v>42259</v>
      </c>
      <c r="B113" s="27"/>
      <c r="C113" s="8"/>
      <c r="D113" s="9"/>
      <c r="E113" s="8"/>
      <c r="F113" s="8"/>
      <c r="G113" s="8"/>
      <c r="H113" s="8"/>
      <c r="I113" s="9"/>
      <c r="J113" s="9"/>
      <c r="K113" s="9"/>
      <c r="L113" s="8"/>
      <c r="M113" s="9"/>
      <c r="N113" s="9"/>
      <c r="O113" s="9"/>
      <c r="P113" s="19"/>
      <c r="Q113" s="10"/>
    </row>
    <row r="114" spans="1:17">
      <c r="A114" s="7">
        <f t="shared" si="1"/>
        <v>42260</v>
      </c>
      <c r="B114" s="27"/>
      <c r="C114" s="8"/>
      <c r="D114" s="9"/>
      <c r="E114" s="8"/>
      <c r="F114" s="8"/>
      <c r="G114" s="8"/>
      <c r="H114" s="8"/>
      <c r="I114" s="9"/>
      <c r="J114" s="9"/>
      <c r="K114" s="9"/>
      <c r="L114" s="8"/>
      <c r="M114" s="9"/>
      <c r="N114" s="9"/>
      <c r="O114" s="9"/>
      <c r="P114" s="19"/>
      <c r="Q114" s="10"/>
    </row>
    <row r="115" spans="1:17">
      <c r="A115" s="7">
        <f t="shared" si="1"/>
        <v>42261</v>
      </c>
      <c r="B115" s="27"/>
      <c r="C115" s="27"/>
      <c r="D115" s="21"/>
      <c r="E115" s="27"/>
      <c r="F115" s="29">
        <f>IFERROR(IF(INPUTS!B116="Male", 86.01*LOG(C115-D115)-70.041*LOG(INPUTS!B$7)+30.3, 163.205*LOG('CUTTING TRACKER'!C115+'CUTTING TRACKER'!E115-'CUTTING TRACKER'!D115)-97.684*LOG(INPUTS!B$7)-104.912),0)</f>
        <v>0</v>
      </c>
      <c r="G115" s="29">
        <f>(B115)*((100-F115)/100)</f>
        <v>0</v>
      </c>
      <c r="H115" s="11" t="str">
        <f>IF(B115&gt;0, AVERAGE(B109:B115), " ")</f>
        <v xml:space="preserve"> </v>
      </c>
      <c r="I115" s="12">
        <f>IFERROR(IF(B115&gt;0, (H108-H115)/H108,0.007), 0)</f>
        <v>7.0000000000000001E-3</v>
      </c>
      <c r="J115" s="13" t="str">
        <f>IF(I115&lt;0, "Cut 200kcal", "")</f>
        <v/>
      </c>
      <c r="K115" s="13" t="str">
        <f>IF(AND(I115&lt;0.005, I115&gt;=0), "Cut 100kcal", "")</f>
        <v/>
      </c>
      <c r="L115" s="13" t="str">
        <f>IF(AND(I115&lt;0.006, I115&gt;=0.005), "Cut 50kcal", "")</f>
        <v/>
      </c>
      <c r="M115" s="13" t="str">
        <f>IF(AND(I115&lt;0.008, I115&gt;=0.006), "Remain Constant", "")</f>
        <v>Remain Constant</v>
      </c>
      <c r="N115" s="13" t="str">
        <f>IF(AND(I115&gt;=0.008,I115&lt;0.01), "Add 50kcal", "")</f>
        <v/>
      </c>
      <c r="O115" s="13" t="str">
        <f>IF(I115&gt;=0.01, "Add 100kcal", "")</f>
        <v/>
      </c>
      <c r="P115" s="20"/>
      <c r="Q115" s="5" t="str">
        <f>IF(P115&gt;0,Q108+P115,"")</f>
        <v/>
      </c>
    </row>
    <row r="116" spans="1:17">
      <c r="A116" s="7">
        <f t="shared" si="1"/>
        <v>42262</v>
      </c>
      <c r="B116" s="27"/>
      <c r="C116" s="8"/>
      <c r="D116" s="9"/>
      <c r="E116" s="8"/>
      <c r="F116" s="8"/>
      <c r="G116" s="8"/>
      <c r="H116" s="8"/>
      <c r="I116" s="9"/>
      <c r="J116" s="9"/>
      <c r="K116" s="9"/>
      <c r="L116" s="8"/>
      <c r="M116" s="9"/>
      <c r="N116" s="9"/>
      <c r="O116" s="9"/>
      <c r="P116" s="19"/>
      <c r="Q116" s="10"/>
    </row>
    <row r="117" spans="1:17">
      <c r="A117" s="7">
        <f t="shared" si="1"/>
        <v>42263</v>
      </c>
      <c r="B117" s="27"/>
      <c r="C117" s="8"/>
      <c r="D117" s="9"/>
      <c r="E117" s="8"/>
      <c r="F117" s="8"/>
      <c r="G117" s="8"/>
      <c r="H117" s="8"/>
      <c r="I117" s="9"/>
      <c r="J117" s="9"/>
      <c r="K117" s="9"/>
      <c r="L117" s="8"/>
      <c r="M117" s="9"/>
      <c r="N117" s="9"/>
      <c r="O117" s="9"/>
      <c r="P117" s="19"/>
      <c r="Q117" s="10"/>
    </row>
    <row r="118" spans="1:17">
      <c r="A118" s="7">
        <f t="shared" si="1"/>
        <v>42264</v>
      </c>
      <c r="B118" s="27"/>
      <c r="C118" s="8"/>
      <c r="D118" s="9"/>
      <c r="E118" s="8"/>
      <c r="F118" s="8"/>
      <c r="G118" s="8"/>
      <c r="H118" s="8"/>
      <c r="I118" s="9"/>
      <c r="J118" s="9"/>
      <c r="K118" s="9"/>
      <c r="L118" s="8"/>
      <c r="M118" s="9"/>
      <c r="N118" s="9"/>
      <c r="O118" s="9"/>
      <c r="P118" s="19"/>
      <c r="Q118" s="10"/>
    </row>
    <row r="119" spans="1:17">
      <c r="A119" s="7">
        <f t="shared" si="1"/>
        <v>42265</v>
      </c>
      <c r="B119" s="27"/>
      <c r="C119" s="8"/>
      <c r="D119" s="9"/>
      <c r="E119" s="8"/>
      <c r="F119" s="8"/>
      <c r="G119" s="8"/>
      <c r="H119" s="8"/>
      <c r="I119" s="9"/>
      <c r="J119" s="9"/>
      <c r="K119" s="9"/>
      <c r="L119" s="8"/>
      <c r="M119" s="9"/>
      <c r="N119" s="9"/>
      <c r="O119" s="9"/>
      <c r="P119" s="19"/>
      <c r="Q119" s="10"/>
    </row>
    <row r="120" spans="1:17">
      <c r="A120" s="7">
        <f t="shared" si="1"/>
        <v>42266</v>
      </c>
      <c r="B120" s="27"/>
      <c r="C120" s="8"/>
      <c r="D120" s="9"/>
      <c r="E120" s="8"/>
      <c r="F120" s="8"/>
      <c r="G120" s="8"/>
      <c r="H120" s="8"/>
      <c r="I120" s="9"/>
      <c r="J120" s="9"/>
      <c r="K120" s="9"/>
      <c r="L120" s="8"/>
      <c r="M120" s="9"/>
      <c r="N120" s="9"/>
      <c r="O120" s="9"/>
      <c r="P120" s="19"/>
      <c r="Q120" s="10"/>
    </row>
    <row r="121" spans="1:17">
      <c r="A121" s="7">
        <f t="shared" si="1"/>
        <v>42267</v>
      </c>
      <c r="B121" s="27"/>
      <c r="C121" s="8"/>
      <c r="D121" s="9"/>
      <c r="E121" s="8"/>
      <c r="F121" s="8"/>
      <c r="G121" s="8"/>
      <c r="H121" s="8"/>
      <c r="I121" s="9"/>
      <c r="J121" s="9"/>
      <c r="K121" s="9"/>
      <c r="L121" s="8"/>
      <c r="M121" s="9"/>
      <c r="N121" s="9"/>
      <c r="O121" s="9"/>
      <c r="P121" s="19"/>
      <c r="Q121" s="10"/>
    </row>
    <row r="122" spans="1:17">
      <c r="A122" s="7">
        <f t="shared" si="1"/>
        <v>42268</v>
      </c>
      <c r="B122" s="27"/>
      <c r="C122" s="27"/>
      <c r="D122" s="21"/>
      <c r="E122" s="27"/>
      <c r="F122" s="29">
        <f>IFERROR(IF(INPUTS!B123="Male", 86.01*LOG(C122-D122)-70.041*LOG(INPUTS!B$7)+30.3, 163.205*LOG('CUTTING TRACKER'!C122+'CUTTING TRACKER'!E122-'CUTTING TRACKER'!D122)-97.684*LOG(INPUTS!B$7)-104.912),0)</f>
        <v>0</v>
      </c>
      <c r="G122" s="29">
        <f>(B122)*((100-F122)/100)</f>
        <v>0</v>
      </c>
      <c r="H122" s="11" t="str">
        <f>IF(B122&gt;0, AVERAGE(B116:B122), " ")</f>
        <v xml:space="preserve"> </v>
      </c>
      <c r="I122" s="12">
        <f>IFERROR(IF(B122&gt;0, (H115-H122)/H115,0.007), 0)</f>
        <v>7.0000000000000001E-3</v>
      </c>
      <c r="J122" s="13" t="str">
        <f>IF(I122&lt;0, "Cut 200kcal", "")</f>
        <v/>
      </c>
      <c r="K122" s="13" t="str">
        <f>IF(AND(I122&lt;0.005, I122&gt;=0), "Cut 100kcal", "")</f>
        <v/>
      </c>
      <c r="L122" s="13" t="str">
        <f>IF(AND(I122&lt;0.006, I122&gt;=0.005), "Cut 50kcal", "")</f>
        <v/>
      </c>
      <c r="M122" s="13" t="str">
        <f>IF(AND(I122&lt;0.008, I122&gt;=0.006), "Remain Constant", "")</f>
        <v>Remain Constant</v>
      </c>
      <c r="N122" s="13" t="str">
        <f>IF(AND(I122&gt;=0.008,I122&lt;0.01), "Add 50kcal", "")</f>
        <v/>
      </c>
      <c r="O122" s="13" t="str">
        <f>IF(I122&gt;=0.01, "Add 100kcal", "")</f>
        <v/>
      </c>
      <c r="P122" s="20"/>
      <c r="Q122" s="5" t="str">
        <f>IF(P122&gt;0,Q115+P122,"")</f>
        <v/>
      </c>
    </row>
    <row r="123" spans="1:17">
      <c r="A123" s="7">
        <f t="shared" si="1"/>
        <v>42269</v>
      </c>
      <c r="B123" s="27"/>
      <c r="C123" s="8"/>
      <c r="D123" s="9"/>
      <c r="E123" s="8"/>
      <c r="F123" s="8"/>
      <c r="G123" s="8"/>
      <c r="H123" s="8"/>
      <c r="I123" s="9"/>
      <c r="J123" s="9"/>
      <c r="K123" s="9"/>
      <c r="L123" s="8"/>
      <c r="M123" s="9"/>
      <c r="N123" s="9"/>
      <c r="O123" s="9"/>
      <c r="P123" s="19"/>
      <c r="Q123" s="10"/>
    </row>
    <row r="124" spans="1:17">
      <c r="A124" s="7">
        <f t="shared" si="1"/>
        <v>42270</v>
      </c>
      <c r="B124" s="27"/>
      <c r="C124" s="8"/>
      <c r="D124" s="9"/>
      <c r="E124" s="8"/>
      <c r="F124" s="8"/>
      <c r="G124" s="8"/>
      <c r="H124" s="8"/>
      <c r="I124" s="9"/>
      <c r="J124" s="9"/>
      <c r="K124" s="9"/>
      <c r="L124" s="8"/>
      <c r="M124" s="9"/>
      <c r="N124" s="9"/>
      <c r="O124" s="9"/>
      <c r="P124" s="19"/>
      <c r="Q124" s="10"/>
    </row>
    <row r="125" spans="1:17">
      <c r="A125" s="7">
        <f t="shared" si="1"/>
        <v>42271</v>
      </c>
      <c r="B125" s="27"/>
      <c r="C125" s="8"/>
      <c r="D125" s="9"/>
      <c r="E125" s="8"/>
      <c r="F125" s="8"/>
      <c r="G125" s="8"/>
      <c r="H125" s="8"/>
      <c r="I125" s="9"/>
      <c r="J125" s="9"/>
      <c r="K125" s="9"/>
      <c r="L125" s="8"/>
      <c r="M125" s="9"/>
      <c r="N125" s="9"/>
      <c r="O125" s="9"/>
      <c r="P125" s="19"/>
      <c r="Q125" s="10"/>
    </row>
    <row r="126" spans="1:17">
      <c r="A126" s="7">
        <f t="shared" si="1"/>
        <v>42272</v>
      </c>
      <c r="B126" s="27"/>
      <c r="C126" s="8"/>
      <c r="D126" s="9"/>
      <c r="E126" s="8"/>
      <c r="F126" s="8"/>
      <c r="G126" s="8"/>
      <c r="H126" s="8"/>
      <c r="I126" s="9"/>
      <c r="J126" s="9"/>
      <c r="K126" s="9"/>
      <c r="L126" s="8"/>
      <c r="M126" s="9"/>
      <c r="N126" s="9"/>
      <c r="O126" s="9"/>
      <c r="P126" s="19"/>
      <c r="Q126" s="10"/>
    </row>
    <row r="127" spans="1:17">
      <c r="A127" s="7">
        <f t="shared" si="1"/>
        <v>42273</v>
      </c>
      <c r="B127" s="27"/>
      <c r="C127" s="8"/>
      <c r="D127" s="9"/>
      <c r="E127" s="8"/>
      <c r="F127" s="8"/>
      <c r="G127" s="8"/>
      <c r="H127" s="8"/>
      <c r="I127" s="9"/>
      <c r="J127" s="9"/>
      <c r="K127" s="9"/>
      <c r="L127" s="8"/>
      <c r="M127" s="9"/>
      <c r="N127" s="9"/>
      <c r="O127" s="9"/>
      <c r="P127" s="19"/>
      <c r="Q127" s="10"/>
    </row>
    <row r="128" spans="1:17">
      <c r="A128" s="7">
        <f t="shared" si="1"/>
        <v>42274</v>
      </c>
      <c r="B128" s="27"/>
      <c r="C128" s="8"/>
      <c r="D128" s="9"/>
      <c r="E128" s="8"/>
      <c r="F128" s="8"/>
      <c r="G128" s="8"/>
      <c r="H128" s="8"/>
      <c r="I128" s="9"/>
      <c r="J128" s="9"/>
      <c r="K128" s="9"/>
      <c r="L128" s="8"/>
      <c r="M128" s="9"/>
      <c r="N128" s="9"/>
      <c r="O128" s="9"/>
      <c r="P128" s="19"/>
      <c r="Q128" s="10"/>
    </row>
    <row r="129" spans="1:17">
      <c r="A129" s="7">
        <f t="shared" si="1"/>
        <v>42275</v>
      </c>
      <c r="B129" s="27"/>
      <c r="C129" s="27"/>
      <c r="D129" s="21"/>
      <c r="E129" s="27"/>
      <c r="F129" s="29">
        <f>IFERROR(IF(INPUTS!B130="Male", 86.01*LOG(C129-D129)-70.041*LOG(INPUTS!B$7)+30.3, 163.205*LOG('CUTTING TRACKER'!C129+'CUTTING TRACKER'!E129-'CUTTING TRACKER'!D129)-97.684*LOG(INPUTS!B$7)-104.912),0)</f>
        <v>0</v>
      </c>
      <c r="G129" s="29">
        <f>(B129)*((100-F129)/100)</f>
        <v>0</v>
      </c>
      <c r="H129" s="11" t="str">
        <f>IF(B129&gt;0, AVERAGE(B123:B129), " ")</f>
        <v xml:space="preserve"> </v>
      </c>
      <c r="I129" s="12">
        <f>IFERROR(IF(B129&gt;0, (H122-H129)/H122,0.007), 0)</f>
        <v>7.0000000000000001E-3</v>
      </c>
      <c r="J129" s="13" t="str">
        <f>IF(I129&lt;0, "Cut 200kcal", "")</f>
        <v/>
      </c>
      <c r="K129" s="13" t="str">
        <f>IF(AND(I129&lt;0.005, I129&gt;=0), "Cut 100kcal", "")</f>
        <v/>
      </c>
      <c r="L129" s="13" t="str">
        <f>IF(AND(I129&lt;0.006, I129&gt;=0.005), "Cut 50kcal", "")</f>
        <v/>
      </c>
      <c r="M129" s="13" t="str">
        <f>IF(AND(I129&lt;0.008, I129&gt;=0.006), "Remain Constant", "")</f>
        <v>Remain Constant</v>
      </c>
      <c r="N129" s="13" t="str">
        <f>IF(AND(I129&gt;=0.008,I129&lt;0.01), "Add 50kcal", "")</f>
        <v/>
      </c>
      <c r="O129" s="13" t="str">
        <f>IF(I129&gt;=0.01, "Add 100kcal", "")</f>
        <v/>
      </c>
      <c r="P129" s="20"/>
      <c r="Q129" s="5" t="str">
        <f>IF(P129&gt;0,Q122+P129,"")</f>
        <v/>
      </c>
    </row>
    <row r="130" spans="1:17">
      <c r="A130" s="7">
        <f t="shared" si="1"/>
        <v>42276</v>
      </c>
      <c r="B130" s="27"/>
      <c r="C130" s="8"/>
      <c r="D130" s="9"/>
      <c r="E130" s="8"/>
      <c r="F130" s="8"/>
      <c r="G130" s="8"/>
      <c r="H130" s="8"/>
      <c r="I130" s="9"/>
      <c r="J130" s="9"/>
      <c r="K130" s="9"/>
      <c r="L130" s="8"/>
      <c r="M130" s="9"/>
      <c r="N130" s="9"/>
      <c r="O130" s="9"/>
      <c r="P130" s="19"/>
      <c r="Q130" s="10"/>
    </row>
    <row r="131" spans="1:17">
      <c r="A131" s="7">
        <f t="shared" si="1"/>
        <v>42277</v>
      </c>
      <c r="B131" s="27"/>
      <c r="C131" s="8"/>
      <c r="D131" s="9"/>
      <c r="E131" s="8"/>
      <c r="F131" s="8"/>
      <c r="G131" s="8"/>
      <c r="H131" s="8"/>
      <c r="I131" s="9"/>
      <c r="J131" s="9"/>
      <c r="K131" s="9"/>
      <c r="L131" s="8"/>
      <c r="M131" s="9"/>
      <c r="N131" s="9"/>
      <c r="O131" s="9"/>
      <c r="P131" s="19"/>
      <c r="Q131" s="10"/>
    </row>
    <row r="132" spans="1:17">
      <c r="A132" s="7">
        <f t="shared" si="1"/>
        <v>42278</v>
      </c>
      <c r="B132" s="27"/>
      <c r="C132" s="8"/>
      <c r="D132" s="9"/>
      <c r="E132" s="8"/>
      <c r="F132" s="8"/>
      <c r="G132" s="8"/>
      <c r="H132" s="8"/>
      <c r="I132" s="9"/>
      <c r="J132" s="9"/>
      <c r="K132" s="9"/>
      <c r="L132" s="8"/>
      <c r="M132" s="9"/>
      <c r="N132" s="9"/>
      <c r="O132" s="9"/>
      <c r="P132" s="19"/>
      <c r="Q132" s="10"/>
    </row>
    <row r="133" spans="1:17">
      <c r="A133" s="7">
        <f t="shared" ref="A133:A196" si="2">A132+1</f>
        <v>42279</v>
      </c>
      <c r="B133" s="27"/>
      <c r="C133" s="8"/>
      <c r="D133" s="9"/>
      <c r="E133" s="8"/>
      <c r="F133" s="8"/>
      <c r="G133" s="8"/>
      <c r="H133" s="8"/>
      <c r="I133" s="9"/>
      <c r="J133" s="9"/>
      <c r="K133" s="9"/>
      <c r="L133" s="8"/>
      <c r="M133" s="9"/>
      <c r="N133" s="9"/>
      <c r="O133" s="9"/>
      <c r="P133" s="19"/>
      <c r="Q133" s="10"/>
    </row>
    <row r="134" spans="1:17">
      <c r="A134" s="7">
        <f t="shared" si="2"/>
        <v>42280</v>
      </c>
      <c r="B134" s="27"/>
      <c r="C134" s="8"/>
      <c r="D134" s="9"/>
      <c r="E134" s="8"/>
      <c r="F134" s="8"/>
      <c r="G134" s="8"/>
      <c r="H134" s="8"/>
      <c r="I134" s="9"/>
      <c r="J134" s="9"/>
      <c r="K134" s="9"/>
      <c r="L134" s="8"/>
      <c r="M134" s="9"/>
      <c r="N134" s="9"/>
      <c r="O134" s="9"/>
      <c r="P134" s="19"/>
      <c r="Q134" s="10"/>
    </row>
    <row r="135" spans="1:17">
      <c r="A135" s="7">
        <f t="shared" si="2"/>
        <v>42281</v>
      </c>
      <c r="B135" s="27"/>
      <c r="C135" s="8"/>
      <c r="D135" s="9"/>
      <c r="E135" s="8"/>
      <c r="F135" s="8"/>
      <c r="G135" s="8"/>
      <c r="H135" s="8"/>
      <c r="I135" s="9"/>
      <c r="J135" s="9"/>
      <c r="K135" s="9"/>
      <c r="L135" s="8"/>
      <c r="M135" s="9"/>
      <c r="N135" s="9"/>
      <c r="O135" s="9"/>
      <c r="P135" s="19"/>
      <c r="Q135" s="10"/>
    </row>
    <row r="136" spans="1:17">
      <c r="A136" s="7">
        <f t="shared" si="2"/>
        <v>42282</v>
      </c>
      <c r="B136" s="27"/>
      <c r="C136" s="27"/>
      <c r="D136" s="21"/>
      <c r="E136" s="27"/>
      <c r="F136" s="29">
        <f>IFERROR(IF(INPUTS!B137="Male", 86.01*LOG(C136-D136)-70.041*LOG(INPUTS!B$7)+30.3, 163.205*LOG('CUTTING TRACKER'!C136+'CUTTING TRACKER'!E136-'CUTTING TRACKER'!D136)-97.684*LOG(INPUTS!B$7)-104.912),0)</f>
        <v>0</v>
      </c>
      <c r="G136" s="29">
        <f>(B136)*((100-F136)/100)</f>
        <v>0</v>
      </c>
      <c r="H136" s="11" t="str">
        <f>IF(B136&gt;0, AVERAGE(B130:B136), " ")</f>
        <v xml:space="preserve"> </v>
      </c>
      <c r="I136" s="12">
        <f>IFERROR(IF(B136&gt;0, (H129-H136)/H129,0.007), 0)</f>
        <v>7.0000000000000001E-3</v>
      </c>
      <c r="J136" s="13" t="str">
        <f>IF(I136&lt;0, "Cut 200kcal", "")</f>
        <v/>
      </c>
      <c r="K136" s="13" t="str">
        <f>IF(AND(I136&lt;0.005, I136&gt;=0), "Cut 100kcal", "")</f>
        <v/>
      </c>
      <c r="L136" s="13" t="str">
        <f>IF(AND(I136&lt;0.006, I136&gt;=0.005), "Cut 50kcal", "")</f>
        <v/>
      </c>
      <c r="M136" s="13" t="str">
        <f>IF(AND(I136&lt;0.008, I136&gt;=0.006), "Remain Constant", "")</f>
        <v>Remain Constant</v>
      </c>
      <c r="N136" s="13" t="str">
        <f>IF(AND(I136&gt;=0.008,I136&lt;0.01), "Add 50kcal", "")</f>
        <v/>
      </c>
      <c r="O136" s="13" t="str">
        <f>IF(I136&gt;=0.01, "Add 100kcal", "")</f>
        <v/>
      </c>
      <c r="P136" s="20"/>
      <c r="Q136" s="5" t="str">
        <f>IF(P136&gt;0,Q129+P136,"")</f>
        <v/>
      </c>
    </row>
    <row r="137" spans="1:17">
      <c r="A137" s="7">
        <f t="shared" si="2"/>
        <v>42283</v>
      </c>
      <c r="B137" s="27"/>
      <c r="C137" s="8"/>
      <c r="D137" s="9"/>
      <c r="E137" s="8"/>
      <c r="F137" s="8"/>
      <c r="G137" s="8"/>
      <c r="H137" s="8"/>
      <c r="I137" s="9"/>
      <c r="J137" s="9"/>
      <c r="K137" s="9"/>
      <c r="L137" s="8"/>
      <c r="M137" s="9"/>
      <c r="N137" s="9"/>
      <c r="O137" s="9"/>
      <c r="P137" s="19"/>
      <c r="Q137" s="10"/>
    </row>
    <row r="138" spans="1:17">
      <c r="A138" s="7">
        <f t="shared" si="2"/>
        <v>42284</v>
      </c>
      <c r="B138" s="27"/>
      <c r="C138" s="8"/>
      <c r="D138" s="9"/>
      <c r="E138" s="8"/>
      <c r="F138" s="8"/>
      <c r="G138" s="8"/>
      <c r="H138" s="8"/>
      <c r="I138" s="9"/>
      <c r="J138" s="9"/>
      <c r="K138" s="9"/>
      <c r="L138" s="8"/>
      <c r="M138" s="9"/>
      <c r="N138" s="9"/>
      <c r="O138" s="9"/>
      <c r="P138" s="19"/>
      <c r="Q138" s="10"/>
    </row>
    <row r="139" spans="1:17">
      <c r="A139" s="7">
        <f t="shared" si="2"/>
        <v>42285</v>
      </c>
      <c r="B139" s="27"/>
      <c r="C139" s="8"/>
      <c r="D139" s="9"/>
      <c r="E139" s="8"/>
      <c r="F139" s="8"/>
      <c r="G139" s="8"/>
      <c r="H139" s="8"/>
      <c r="I139" s="9"/>
      <c r="J139" s="9"/>
      <c r="K139" s="9"/>
      <c r="L139" s="8"/>
      <c r="M139" s="9"/>
      <c r="N139" s="9"/>
      <c r="O139" s="9"/>
      <c r="P139" s="19"/>
      <c r="Q139" s="10"/>
    </row>
    <row r="140" spans="1:17">
      <c r="A140" s="7">
        <f t="shared" si="2"/>
        <v>42286</v>
      </c>
      <c r="B140" s="27"/>
      <c r="C140" s="8"/>
      <c r="D140" s="9"/>
      <c r="E140" s="8"/>
      <c r="F140" s="8"/>
      <c r="G140" s="8"/>
      <c r="H140" s="8"/>
      <c r="I140" s="9"/>
      <c r="J140" s="9"/>
      <c r="K140" s="9"/>
      <c r="L140" s="8"/>
      <c r="M140" s="9"/>
      <c r="N140" s="9"/>
      <c r="O140" s="9"/>
      <c r="P140" s="19"/>
      <c r="Q140" s="10"/>
    </row>
    <row r="141" spans="1:17">
      <c r="A141" s="7">
        <f t="shared" si="2"/>
        <v>42287</v>
      </c>
      <c r="B141" s="27"/>
      <c r="C141" s="8"/>
      <c r="D141" s="9"/>
      <c r="E141" s="8"/>
      <c r="F141" s="8"/>
      <c r="G141" s="8"/>
      <c r="H141" s="8"/>
      <c r="I141" s="9"/>
      <c r="J141" s="9"/>
      <c r="K141" s="9"/>
      <c r="L141" s="8"/>
      <c r="M141" s="9"/>
      <c r="N141" s="9"/>
      <c r="O141" s="9"/>
      <c r="P141" s="19"/>
      <c r="Q141" s="10"/>
    </row>
    <row r="142" spans="1:17">
      <c r="A142" s="7">
        <f t="shared" si="2"/>
        <v>42288</v>
      </c>
      <c r="B142" s="27"/>
      <c r="C142" s="8"/>
      <c r="D142" s="9"/>
      <c r="E142" s="8"/>
      <c r="F142" s="8"/>
      <c r="G142" s="8"/>
      <c r="H142" s="8"/>
      <c r="I142" s="9"/>
      <c r="J142" s="9"/>
      <c r="K142" s="9"/>
      <c r="L142" s="8"/>
      <c r="M142" s="9"/>
      <c r="N142" s="9"/>
      <c r="O142" s="9"/>
      <c r="P142" s="19"/>
      <c r="Q142" s="10"/>
    </row>
    <row r="143" spans="1:17">
      <c r="A143" s="7">
        <f t="shared" si="2"/>
        <v>42289</v>
      </c>
      <c r="B143" s="27"/>
      <c r="C143" s="27"/>
      <c r="D143" s="21"/>
      <c r="E143" s="27"/>
      <c r="F143" s="29">
        <f>IFERROR(IF(INPUTS!B144="Male", 86.01*LOG(C143-D143)-70.041*LOG(INPUTS!B$7)+30.3, 163.205*LOG('CUTTING TRACKER'!C143+'CUTTING TRACKER'!E143-'CUTTING TRACKER'!D143)-97.684*LOG(INPUTS!B$7)-104.912),0)</f>
        <v>0</v>
      </c>
      <c r="G143" s="29">
        <f>(B143)*((100-F143)/100)</f>
        <v>0</v>
      </c>
      <c r="H143" s="11" t="str">
        <f>IF(B143&gt;0, AVERAGE(B137:B143), " ")</f>
        <v xml:space="preserve"> </v>
      </c>
      <c r="I143" s="12">
        <f>IFERROR(IF(B143&gt;0, (H136-H143)/H136,0.007), 0)</f>
        <v>7.0000000000000001E-3</v>
      </c>
      <c r="J143" s="13" t="str">
        <f>IF(I143&lt;0, "Cut 200kcal", "")</f>
        <v/>
      </c>
      <c r="K143" s="13" t="str">
        <f>IF(AND(I143&lt;0.005, I143&gt;=0), "Cut 100kcal", "")</f>
        <v/>
      </c>
      <c r="L143" s="13" t="str">
        <f>IF(AND(I143&lt;0.006, I143&gt;=0.005), "Cut 50kcal", "")</f>
        <v/>
      </c>
      <c r="M143" s="13" t="str">
        <f>IF(AND(I143&lt;0.008, I143&gt;=0.006), "Remain Constant", "")</f>
        <v>Remain Constant</v>
      </c>
      <c r="N143" s="13" t="str">
        <f>IF(AND(I143&gt;=0.008,I143&lt;0.01), "Add 50kcal", "")</f>
        <v/>
      </c>
      <c r="O143" s="13" t="str">
        <f>IF(I143&gt;=0.01, "Add 100kcal", "")</f>
        <v/>
      </c>
      <c r="P143" s="20"/>
      <c r="Q143" s="5" t="str">
        <f>IF(P143&gt;0,Q136+P143,"")</f>
        <v/>
      </c>
    </row>
    <row r="144" spans="1:17">
      <c r="A144" s="7">
        <f t="shared" si="2"/>
        <v>42290</v>
      </c>
      <c r="B144" s="27"/>
      <c r="C144" s="8"/>
      <c r="D144" s="9"/>
      <c r="E144" s="8"/>
      <c r="F144" s="8"/>
      <c r="G144" s="8"/>
      <c r="H144" s="8"/>
      <c r="I144" s="9"/>
      <c r="J144" s="9"/>
      <c r="K144" s="9"/>
      <c r="L144" s="8"/>
      <c r="M144" s="9"/>
      <c r="N144" s="9"/>
      <c r="O144" s="9"/>
      <c r="P144" s="19"/>
      <c r="Q144" s="10"/>
    </row>
    <row r="145" spans="1:17">
      <c r="A145" s="7">
        <f t="shared" si="2"/>
        <v>42291</v>
      </c>
      <c r="B145" s="27"/>
      <c r="C145" s="8"/>
      <c r="D145" s="9"/>
      <c r="E145" s="8"/>
      <c r="F145" s="8"/>
      <c r="G145" s="8"/>
      <c r="H145" s="8"/>
      <c r="I145" s="9"/>
      <c r="J145" s="9"/>
      <c r="K145" s="9"/>
      <c r="L145" s="8"/>
      <c r="M145" s="9"/>
      <c r="N145" s="9"/>
      <c r="O145" s="9"/>
      <c r="P145" s="19"/>
      <c r="Q145" s="10"/>
    </row>
    <row r="146" spans="1:17">
      <c r="A146" s="7">
        <f t="shared" si="2"/>
        <v>42292</v>
      </c>
      <c r="B146" s="27"/>
      <c r="C146" s="8"/>
      <c r="D146" s="9"/>
      <c r="E146" s="8"/>
      <c r="F146" s="8"/>
      <c r="G146" s="8"/>
      <c r="H146" s="8"/>
      <c r="I146" s="9"/>
      <c r="J146" s="9"/>
      <c r="K146" s="9"/>
      <c r="L146" s="8"/>
      <c r="M146" s="9"/>
      <c r="N146" s="9"/>
      <c r="O146" s="9"/>
      <c r="P146" s="19"/>
      <c r="Q146" s="10"/>
    </row>
    <row r="147" spans="1:17">
      <c r="A147" s="7">
        <f t="shared" si="2"/>
        <v>42293</v>
      </c>
      <c r="B147" s="27"/>
      <c r="C147" s="8"/>
      <c r="D147" s="9"/>
      <c r="E147" s="8"/>
      <c r="F147" s="8"/>
      <c r="G147" s="8"/>
      <c r="H147" s="8"/>
      <c r="I147" s="9"/>
      <c r="J147" s="9"/>
      <c r="K147" s="9"/>
      <c r="L147" s="8"/>
      <c r="M147" s="9"/>
      <c r="N147" s="9"/>
      <c r="O147" s="9"/>
      <c r="P147" s="19"/>
      <c r="Q147" s="10"/>
    </row>
    <row r="148" spans="1:17">
      <c r="A148" s="7">
        <f t="shared" si="2"/>
        <v>42294</v>
      </c>
      <c r="B148" s="27"/>
      <c r="C148" s="8"/>
      <c r="D148" s="9"/>
      <c r="E148" s="8"/>
      <c r="F148" s="8"/>
      <c r="G148" s="8"/>
      <c r="H148" s="8"/>
      <c r="I148" s="9"/>
      <c r="J148" s="9"/>
      <c r="K148" s="9"/>
      <c r="L148" s="8"/>
      <c r="M148" s="9"/>
      <c r="N148" s="9"/>
      <c r="O148" s="9"/>
      <c r="P148" s="19"/>
      <c r="Q148" s="10"/>
    </row>
    <row r="149" spans="1:17">
      <c r="A149" s="7">
        <f t="shared" si="2"/>
        <v>42295</v>
      </c>
      <c r="B149" s="27"/>
      <c r="C149" s="8"/>
      <c r="D149" s="9"/>
      <c r="E149" s="8"/>
      <c r="F149" s="8"/>
      <c r="G149" s="8"/>
      <c r="H149" s="8"/>
      <c r="I149" s="9"/>
      <c r="J149" s="9"/>
      <c r="K149" s="9"/>
      <c r="L149" s="8"/>
      <c r="M149" s="9"/>
      <c r="N149" s="9"/>
      <c r="O149" s="9"/>
      <c r="P149" s="19"/>
      <c r="Q149" s="10"/>
    </row>
    <row r="150" spans="1:17">
      <c r="A150" s="7">
        <f t="shared" si="2"/>
        <v>42296</v>
      </c>
      <c r="B150" s="27"/>
      <c r="C150" s="27"/>
      <c r="D150" s="21"/>
      <c r="E150" s="27"/>
      <c r="F150" s="29">
        <f>IFERROR(IF(INPUTS!B151="Male", 86.01*LOG(C150-D150)-70.041*LOG(INPUTS!B$7)+30.3, 163.205*LOG('CUTTING TRACKER'!C150+'CUTTING TRACKER'!E150-'CUTTING TRACKER'!D150)-97.684*LOG(INPUTS!B$7)-104.912),0)</f>
        <v>0</v>
      </c>
      <c r="G150" s="29">
        <f>(B150)*((100-F150)/100)</f>
        <v>0</v>
      </c>
      <c r="H150" s="11" t="str">
        <f>IF(B150&gt;0, AVERAGE(B144:B150), " ")</f>
        <v xml:space="preserve"> </v>
      </c>
      <c r="I150" s="12">
        <f>IFERROR(IF(B150&gt;0, (H143-H150)/H143,0.007), 0)</f>
        <v>7.0000000000000001E-3</v>
      </c>
      <c r="J150" s="13" t="str">
        <f>IF(I150&lt;0, "Cut 200kcal", "")</f>
        <v/>
      </c>
      <c r="K150" s="13" t="str">
        <f>IF(AND(I150&lt;0.005, I150&gt;=0), "Cut 100kcal", "")</f>
        <v/>
      </c>
      <c r="L150" s="13" t="str">
        <f>IF(AND(I150&lt;0.006, I150&gt;=0.005), "Cut 50kcal", "")</f>
        <v/>
      </c>
      <c r="M150" s="13" t="str">
        <f>IF(AND(I150&lt;0.008, I150&gt;=0.006), "Remain Constant", "")</f>
        <v>Remain Constant</v>
      </c>
      <c r="N150" s="13" t="str">
        <f>IF(AND(I150&gt;=0.008,I150&lt;0.01), "Add 50kcal", "")</f>
        <v/>
      </c>
      <c r="O150" s="13" t="str">
        <f>IF(I150&gt;=0.01, "Add 100kcal", "")</f>
        <v/>
      </c>
      <c r="P150" s="20"/>
      <c r="Q150" s="5" t="str">
        <f>IF(P150&gt;0,Q143+P150,"")</f>
        <v/>
      </c>
    </row>
    <row r="151" spans="1:17">
      <c r="A151" s="7">
        <f t="shared" si="2"/>
        <v>42297</v>
      </c>
      <c r="B151" s="27"/>
      <c r="C151" s="8"/>
      <c r="D151" s="9"/>
      <c r="E151" s="8"/>
      <c r="F151" s="8"/>
      <c r="G151" s="8"/>
      <c r="H151" s="8"/>
      <c r="I151" s="9"/>
      <c r="J151" s="9"/>
      <c r="K151" s="9"/>
      <c r="L151" s="8"/>
      <c r="M151" s="9"/>
      <c r="N151" s="9"/>
      <c r="O151" s="9"/>
      <c r="P151" s="19"/>
      <c r="Q151" s="10"/>
    </row>
    <row r="152" spans="1:17">
      <c r="A152" s="7">
        <f t="shared" si="2"/>
        <v>42298</v>
      </c>
      <c r="B152" s="27"/>
      <c r="C152" s="8"/>
      <c r="D152" s="9"/>
      <c r="E152" s="8"/>
      <c r="F152" s="8"/>
      <c r="G152" s="8"/>
      <c r="H152" s="8"/>
      <c r="I152" s="9"/>
      <c r="J152" s="9"/>
      <c r="K152" s="9"/>
      <c r="L152" s="8"/>
      <c r="M152" s="9"/>
      <c r="N152" s="9"/>
      <c r="O152" s="9"/>
      <c r="P152" s="19"/>
      <c r="Q152" s="10"/>
    </row>
    <row r="153" spans="1:17">
      <c r="A153" s="7">
        <f t="shared" si="2"/>
        <v>42299</v>
      </c>
      <c r="B153" s="27"/>
      <c r="C153" s="8"/>
      <c r="D153" s="9"/>
      <c r="E153" s="8"/>
      <c r="F153" s="8"/>
      <c r="G153" s="8"/>
      <c r="H153" s="8"/>
      <c r="I153" s="9"/>
      <c r="J153" s="9"/>
      <c r="K153" s="9"/>
      <c r="L153" s="8"/>
      <c r="M153" s="9"/>
      <c r="N153" s="9"/>
      <c r="O153" s="9"/>
      <c r="P153" s="19"/>
      <c r="Q153" s="10"/>
    </row>
    <row r="154" spans="1:17">
      <c r="A154" s="7">
        <f t="shared" si="2"/>
        <v>42300</v>
      </c>
      <c r="B154" s="27"/>
      <c r="C154" s="8"/>
      <c r="D154" s="9"/>
      <c r="E154" s="8"/>
      <c r="F154" s="8"/>
      <c r="G154" s="8"/>
      <c r="H154" s="8"/>
      <c r="I154" s="9"/>
      <c r="J154" s="9"/>
      <c r="K154" s="9"/>
      <c r="L154" s="8"/>
      <c r="M154" s="9"/>
      <c r="N154" s="9"/>
      <c r="O154" s="9"/>
      <c r="P154" s="19"/>
      <c r="Q154" s="10"/>
    </row>
    <row r="155" spans="1:17">
      <c r="A155" s="7">
        <f t="shared" si="2"/>
        <v>42301</v>
      </c>
      <c r="B155" s="27"/>
      <c r="C155" s="8"/>
      <c r="D155" s="9"/>
      <c r="E155" s="8"/>
      <c r="F155" s="8"/>
      <c r="G155" s="8"/>
      <c r="H155" s="8"/>
      <c r="I155" s="9"/>
      <c r="J155" s="9"/>
      <c r="K155" s="9"/>
      <c r="L155" s="8"/>
      <c r="M155" s="9"/>
      <c r="N155" s="9"/>
      <c r="O155" s="9"/>
      <c r="P155" s="19"/>
      <c r="Q155" s="10"/>
    </row>
    <row r="156" spans="1:17">
      <c r="A156" s="7">
        <f t="shared" si="2"/>
        <v>42302</v>
      </c>
      <c r="B156" s="27"/>
      <c r="C156" s="8"/>
      <c r="D156" s="9"/>
      <c r="E156" s="8"/>
      <c r="F156" s="8"/>
      <c r="G156" s="8"/>
      <c r="H156" s="8"/>
      <c r="I156" s="9"/>
      <c r="J156" s="9"/>
      <c r="K156" s="9"/>
      <c r="L156" s="8"/>
      <c r="M156" s="9"/>
      <c r="N156" s="9"/>
      <c r="O156" s="9"/>
      <c r="P156" s="19"/>
      <c r="Q156" s="10"/>
    </row>
    <row r="157" spans="1:17">
      <c r="A157" s="7">
        <f t="shared" si="2"/>
        <v>42303</v>
      </c>
      <c r="B157" s="27"/>
      <c r="C157" s="27"/>
      <c r="D157" s="21"/>
      <c r="E157" s="27"/>
      <c r="F157" s="29">
        <f>IFERROR(IF(INPUTS!B158="Male", 86.01*LOG(C157-D157)-70.041*LOG(INPUTS!B$7)+30.3, 163.205*LOG('CUTTING TRACKER'!C157+'CUTTING TRACKER'!E157-'CUTTING TRACKER'!D157)-97.684*LOG(INPUTS!B$7)-104.912),0)</f>
        <v>0</v>
      </c>
      <c r="G157" s="29">
        <f>(B157)*((100-F157)/100)</f>
        <v>0</v>
      </c>
      <c r="H157" s="11" t="str">
        <f>IF(B157&gt;0, AVERAGE(B151:B157), " ")</f>
        <v xml:space="preserve"> </v>
      </c>
      <c r="I157" s="12">
        <f>IFERROR(IF(B157&gt;0, (H150-H157)/H150,0.007), 0)</f>
        <v>7.0000000000000001E-3</v>
      </c>
      <c r="J157" s="13" t="str">
        <f>IF(I157&lt;0, "Cut 200kcal", "")</f>
        <v/>
      </c>
      <c r="K157" s="13" t="str">
        <f>IF(AND(I157&lt;0.005, I157&gt;=0), "Cut 100kcal", "")</f>
        <v/>
      </c>
      <c r="L157" s="13" t="str">
        <f>IF(AND(I157&lt;0.006, I157&gt;=0.005), "Cut 50kcal", "")</f>
        <v/>
      </c>
      <c r="M157" s="13" t="str">
        <f>IF(AND(I157&lt;0.008, I157&gt;=0.006), "Remain Constant", "")</f>
        <v>Remain Constant</v>
      </c>
      <c r="N157" s="13" t="str">
        <f>IF(AND(I157&gt;=0.008,I157&lt;0.01), "Add 50kcal", "")</f>
        <v/>
      </c>
      <c r="O157" s="13" t="str">
        <f>IF(I157&gt;=0.01, "Add 100kcal", "")</f>
        <v/>
      </c>
      <c r="P157" s="20"/>
      <c r="Q157" s="5" t="str">
        <f>IF(P157&gt;0,Q150+P157,"")</f>
        <v/>
      </c>
    </row>
    <row r="158" spans="1:17">
      <c r="A158" s="7">
        <f t="shared" si="2"/>
        <v>42304</v>
      </c>
      <c r="B158" s="27"/>
      <c r="C158" s="8"/>
      <c r="D158" s="9"/>
      <c r="E158" s="8"/>
      <c r="F158" s="8"/>
      <c r="G158" s="8"/>
      <c r="H158" s="8"/>
      <c r="I158" s="9"/>
      <c r="J158" s="9"/>
      <c r="K158" s="9"/>
      <c r="L158" s="8"/>
      <c r="M158" s="9"/>
      <c r="N158" s="9"/>
      <c r="O158" s="9"/>
      <c r="P158" s="19"/>
      <c r="Q158" s="10"/>
    </row>
    <row r="159" spans="1:17">
      <c r="A159" s="7">
        <f t="shared" si="2"/>
        <v>42305</v>
      </c>
      <c r="B159" s="27"/>
      <c r="C159" s="8"/>
      <c r="D159" s="9"/>
      <c r="E159" s="8"/>
      <c r="F159" s="8"/>
      <c r="G159" s="8"/>
      <c r="H159" s="8"/>
      <c r="I159" s="9"/>
      <c r="J159" s="9"/>
      <c r="K159" s="9"/>
      <c r="L159" s="8"/>
      <c r="M159" s="9"/>
      <c r="N159" s="9"/>
      <c r="O159" s="9"/>
      <c r="P159" s="19"/>
      <c r="Q159" s="10"/>
    </row>
    <row r="160" spans="1:17">
      <c r="A160" s="7">
        <f t="shared" si="2"/>
        <v>42306</v>
      </c>
      <c r="B160" s="27"/>
      <c r="C160" s="8"/>
      <c r="D160" s="9"/>
      <c r="E160" s="8"/>
      <c r="F160" s="8"/>
      <c r="G160" s="8"/>
      <c r="H160" s="8"/>
      <c r="I160" s="9"/>
      <c r="J160" s="9"/>
      <c r="K160" s="9"/>
      <c r="L160" s="8"/>
      <c r="M160" s="9"/>
      <c r="N160" s="9"/>
      <c r="O160" s="9"/>
      <c r="P160" s="19"/>
      <c r="Q160" s="10"/>
    </row>
    <row r="161" spans="1:17">
      <c r="A161" s="7">
        <f t="shared" si="2"/>
        <v>42307</v>
      </c>
      <c r="B161" s="27"/>
      <c r="C161" s="8"/>
      <c r="D161" s="9"/>
      <c r="E161" s="8"/>
      <c r="F161" s="8"/>
      <c r="G161" s="8"/>
      <c r="H161" s="8"/>
      <c r="I161" s="9"/>
      <c r="J161" s="9"/>
      <c r="K161" s="9"/>
      <c r="L161" s="8"/>
      <c r="M161" s="9"/>
      <c r="N161" s="9"/>
      <c r="O161" s="9"/>
      <c r="P161" s="19"/>
      <c r="Q161" s="10"/>
    </row>
    <row r="162" spans="1:17">
      <c r="A162" s="7">
        <f t="shared" si="2"/>
        <v>42308</v>
      </c>
      <c r="B162" s="27"/>
      <c r="C162" s="8"/>
      <c r="D162" s="9"/>
      <c r="E162" s="8"/>
      <c r="F162" s="8"/>
      <c r="G162" s="8"/>
      <c r="H162" s="8"/>
      <c r="I162" s="9"/>
      <c r="J162" s="9"/>
      <c r="K162" s="9"/>
      <c r="L162" s="8"/>
      <c r="M162" s="9"/>
      <c r="N162" s="9"/>
      <c r="O162" s="9"/>
      <c r="P162" s="19"/>
      <c r="Q162" s="10"/>
    </row>
    <row r="163" spans="1:17">
      <c r="A163" s="7">
        <f t="shared" si="2"/>
        <v>42309</v>
      </c>
      <c r="B163" s="27"/>
      <c r="C163" s="8"/>
      <c r="D163" s="9"/>
      <c r="E163" s="8"/>
      <c r="F163" s="8"/>
      <c r="G163" s="8"/>
      <c r="H163" s="8"/>
      <c r="I163" s="9"/>
      <c r="J163" s="9"/>
      <c r="K163" s="9"/>
      <c r="L163" s="8"/>
      <c r="M163" s="9"/>
      <c r="N163" s="9"/>
      <c r="O163" s="9"/>
      <c r="P163" s="19"/>
      <c r="Q163" s="10"/>
    </row>
    <row r="164" spans="1:17">
      <c r="A164" s="7">
        <f t="shared" si="2"/>
        <v>42310</v>
      </c>
      <c r="B164" s="27"/>
      <c r="C164" s="27"/>
      <c r="D164" s="21"/>
      <c r="E164" s="27"/>
      <c r="F164" s="29">
        <f>IFERROR(IF(INPUTS!B165="Male", 86.01*LOG(C164-D164)-70.041*LOG(INPUTS!B$7)+30.3, 163.205*LOG('CUTTING TRACKER'!C164+'CUTTING TRACKER'!E164-'CUTTING TRACKER'!D164)-97.684*LOG(INPUTS!B$7)-104.912),0)</f>
        <v>0</v>
      </c>
      <c r="G164" s="29">
        <f>(B164)*((100-F164)/100)</f>
        <v>0</v>
      </c>
      <c r="H164" s="11" t="str">
        <f>IF(B164&gt;0, AVERAGE(B158:B164), " ")</f>
        <v xml:space="preserve"> </v>
      </c>
      <c r="I164" s="12">
        <f>IFERROR(IF(B164&gt;0, (H157-H164)/H157,0.007), 0)</f>
        <v>7.0000000000000001E-3</v>
      </c>
      <c r="J164" s="13" t="str">
        <f>IF(I164&lt;0, "Cut 200kcal", "")</f>
        <v/>
      </c>
      <c r="K164" s="13" t="str">
        <f>IF(AND(I164&lt;0.005, I164&gt;=0), "Cut 100kcal", "")</f>
        <v/>
      </c>
      <c r="L164" s="13" t="str">
        <f>IF(AND(I164&lt;0.006, I164&gt;=0.005), "Cut 50kcal", "")</f>
        <v/>
      </c>
      <c r="M164" s="13" t="str">
        <f>IF(AND(I164&lt;0.008, I164&gt;=0.006), "Remain Constant", "")</f>
        <v>Remain Constant</v>
      </c>
      <c r="N164" s="13" t="str">
        <f>IF(AND(I164&gt;=0.008,I164&lt;0.01), "Add 50kcal", "")</f>
        <v/>
      </c>
      <c r="O164" s="13" t="str">
        <f>IF(I164&gt;=0.01, "Add 100kcal", "")</f>
        <v/>
      </c>
      <c r="P164" s="20"/>
      <c r="Q164" s="5" t="str">
        <f>IF(P164&gt;0,Q157+P164,"")</f>
        <v/>
      </c>
    </row>
    <row r="165" spans="1:17">
      <c r="A165" s="7">
        <f t="shared" si="2"/>
        <v>42311</v>
      </c>
      <c r="B165" s="27"/>
      <c r="C165" s="8"/>
      <c r="D165" s="9"/>
      <c r="E165" s="8"/>
      <c r="F165" s="8"/>
      <c r="G165" s="8"/>
      <c r="H165" s="8"/>
      <c r="I165" s="9"/>
      <c r="J165" s="9"/>
      <c r="K165" s="9"/>
      <c r="L165" s="8"/>
      <c r="M165" s="9"/>
      <c r="N165" s="9"/>
      <c r="O165" s="9"/>
      <c r="P165" s="19"/>
      <c r="Q165" s="10"/>
    </row>
    <row r="166" spans="1:17">
      <c r="A166" s="7">
        <f t="shared" si="2"/>
        <v>42312</v>
      </c>
      <c r="B166" s="27"/>
      <c r="C166" s="8"/>
      <c r="D166" s="9"/>
      <c r="E166" s="8"/>
      <c r="F166" s="8"/>
      <c r="G166" s="8"/>
      <c r="H166" s="8"/>
      <c r="I166" s="9"/>
      <c r="J166" s="9"/>
      <c r="K166" s="9"/>
      <c r="L166" s="8"/>
      <c r="M166" s="9"/>
      <c r="N166" s="9"/>
      <c r="O166" s="9"/>
      <c r="P166" s="19"/>
      <c r="Q166" s="10"/>
    </row>
    <row r="167" spans="1:17">
      <c r="A167" s="7">
        <f t="shared" si="2"/>
        <v>42313</v>
      </c>
      <c r="B167" s="27"/>
      <c r="C167" s="8"/>
      <c r="D167" s="9"/>
      <c r="E167" s="8"/>
      <c r="F167" s="8"/>
      <c r="G167" s="8"/>
      <c r="H167" s="8"/>
      <c r="I167" s="9"/>
      <c r="J167" s="9"/>
      <c r="K167" s="9"/>
      <c r="L167" s="8"/>
      <c r="M167" s="9"/>
      <c r="N167" s="9"/>
      <c r="O167" s="9"/>
      <c r="P167" s="19"/>
      <c r="Q167" s="10"/>
    </row>
    <row r="168" spans="1:17">
      <c r="A168" s="7">
        <f t="shared" si="2"/>
        <v>42314</v>
      </c>
      <c r="B168" s="27"/>
      <c r="C168" s="8"/>
      <c r="D168" s="9"/>
      <c r="E168" s="8"/>
      <c r="F168" s="8"/>
      <c r="G168" s="8"/>
      <c r="H168" s="8"/>
      <c r="I168" s="9"/>
      <c r="J168" s="9"/>
      <c r="K168" s="9"/>
      <c r="L168" s="8"/>
      <c r="M168" s="9"/>
      <c r="N168" s="9"/>
      <c r="O168" s="9"/>
      <c r="P168" s="19"/>
      <c r="Q168" s="10"/>
    </row>
    <row r="169" spans="1:17">
      <c r="A169" s="7">
        <f t="shared" si="2"/>
        <v>42315</v>
      </c>
      <c r="B169" s="27"/>
      <c r="C169" s="8"/>
      <c r="D169" s="9"/>
      <c r="E169" s="8"/>
      <c r="F169" s="8"/>
      <c r="G169" s="8"/>
      <c r="H169" s="8"/>
      <c r="I169" s="9"/>
      <c r="J169" s="9"/>
      <c r="K169" s="9"/>
      <c r="L169" s="8"/>
      <c r="M169" s="9"/>
      <c r="N169" s="9"/>
      <c r="O169" s="9"/>
      <c r="P169" s="19"/>
      <c r="Q169" s="10"/>
    </row>
    <row r="170" spans="1:17">
      <c r="A170" s="7">
        <f t="shared" si="2"/>
        <v>42316</v>
      </c>
      <c r="B170" s="27"/>
      <c r="C170" s="8"/>
      <c r="D170" s="9"/>
      <c r="E170" s="8"/>
      <c r="F170" s="8"/>
      <c r="G170" s="8"/>
      <c r="H170" s="8"/>
      <c r="I170" s="9"/>
      <c r="J170" s="9"/>
      <c r="K170" s="9"/>
      <c r="L170" s="8"/>
      <c r="M170" s="9"/>
      <c r="N170" s="9"/>
      <c r="O170" s="9"/>
      <c r="P170" s="19"/>
      <c r="Q170" s="10"/>
    </row>
    <row r="171" spans="1:17">
      <c r="A171" s="7">
        <f t="shared" si="2"/>
        <v>42317</v>
      </c>
      <c r="B171" s="27"/>
      <c r="C171" s="27"/>
      <c r="D171" s="21"/>
      <c r="E171" s="27"/>
      <c r="F171" s="29">
        <f>IFERROR(IF(INPUTS!B172="Male", 86.01*LOG(C171-D171)-70.041*LOG(INPUTS!B$7)+30.3, 163.205*LOG('CUTTING TRACKER'!C171+'CUTTING TRACKER'!E171-'CUTTING TRACKER'!D171)-97.684*LOG(INPUTS!B$7)-104.912),0)</f>
        <v>0</v>
      </c>
      <c r="G171" s="29">
        <f>(B171)*((100-F171)/100)</f>
        <v>0</v>
      </c>
      <c r="H171" s="11" t="str">
        <f>IF(B171&gt;0, AVERAGE(B165:B171), " ")</f>
        <v xml:space="preserve"> </v>
      </c>
      <c r="I171" s="12">
        <f>IFERROR(IF(B171&gt;0, (H164-H171)/H164,0.007), 0)</f>
        <v>7.0000000000000001E-3</v>
      </c>
      <c r="J171" s="13" t="str">
        <f>IF(I171&lt;0, "Cut 200kcal", "")</f>
        <v/>
      </c>
      <c r="K171" s="13" t="str">
        <f>IF(AND(I171&lt;0.005, I171&gt;=0), "Cut 100kcal", "")</f>
        <v/>
      </c>
      <c r="L171" s="13" t="str">
        <f>IF(AND(I171&lt;0.006, I171&gt;=0.005), "Cut 50kcal", "")</f>
        <v/>
      </c>
      <c r="M171" s="13" t="str">
        <f>IF(AND(I171&lt;0.008, I171&gt;=0.006), "Remain Constant", "")</f>
        <v>Remain Constant</v>
      </c>
      <c r="N171" s="13" t="str">
        <f>IF(AND(I171&gt;=0.008,I171&lt;0.01), "Add 50kcal", "")</f>
        <v/>
      </c>
      <c r="O171" s="13" t="str">
        <f>IF(I171&gt;=0.01, "Add 100kcal", "")</f>
        <v/>
      </c>
      <c r="P171" s="20"/>
      <c r="Q171" s="5" t="str">
        <f>IF(P171&gt;0,Q164+P171,"")</f>
        <v/>
      </c>
    </row>
    <row r="172" spans="1:17">
      <c r="A172" s="7">
        <f t="shared" si="2"/>
        <v>42318</v>
      </c>
      <c r="B172" s="27"/>
      <c r="C172" s="8"/>
      <c r="D172" s="9"/>
      <c r="E172" s="8"/>
      <c r="F172" s="8"/>
      <c r="G172" s="8"/>
      <c r="H172" s="8"/>
      <c r="I172" s="9"/>
      <c r="J172" s="9"/>
      <c r="K172" s="9"/>
      <c r="L172" s="8"/>
      <c r="M172" s="9"/>
      <c r="N172" s="9"/>
      <c r="O172" s="9"/>
      <c r="P172" s="19"/>
      <c r="Q172" s="10"/>
    </row>
    <row r="173" spans="1:17">
      <c r="A173" s="7">
        <f t="shared" si="2"/>
        <v>42319</v>
      </c>
      <c r="B173" s="27"/>
      <c r="C173" s="8"/>
      <c r="D173" s="9"/>
      <c r="E173" s="8"/>
      <c r="F173" s="8"/>
      <c r="G173" s="8"/>
      <c r="H173" s="8"/>
      <c r="I173" s="9"/>
      <c r="J173" s="9"/>
      <c r="K173" s="9"/>
      <c r="L173" s="8"/>
      <c r="M173" s="9"/>
      <c r="N173" s="9"/>
      <c r="O173" s="9"/>
      <c r="P173" s="19"/>
      <c r="Q173" s="10"/>
    </row>
    <row r="174" spans="1:17">
      <c r="A174" s="7">
        <f t="shared" si="2"/>
        <v>42320</v>
      </c>
      <c r="B174" s="27"/>
      <c r="C174" s="8"/>
      <c r="D174" s="9"/>
      <c r="E174" s="8"/>
      <c r="F174" s="8"/>
      <c r="G174" s="8"/>
      <c r="H174" s="8"/>
      <c r="I174" s="9"/>
      <c r="J174" s="9"/>
      <c r="K174" s="9"/>
      <c r="L174" s="8"/>
      <c r="M174" s="9"/>
      <c r="N174" s="9"/>
      <c r="O174" s="9"/>
      <c r="P174" s="19"/>
      <c r="Q174" s="10"/>
    </row>
    <row r="175" spans="1:17">
      <c r="A175" s="7">
        <f t="shared" si="2"/>
        <v>42321</v>
      </c>
      <c r="B175" s="27"/>
      <c r="C175" s="8"/>
      <c r="D175" s="9"/>
      <c r="E175" s="8"/>
      <c r="F175" s="8"/>
      <c r="G175" s="8"/>
      <c r="H175" s="8"/>
      <c r="I175" s="9"/>
      <c r="J175" s="9"/>
      <c r="K175" s="9"/>
      <c r="L175" s="8"/>
      <c r="M175" s="9"/>
      <c r="N175" s="9"/>
      <c r="O175" s="9"/>
      <c r="P175" s="19"/>
      <c r="Q175" s="10"/>
    </row>
    <row r="176" spans="1:17">
      <c r="A176" s="7">
        <f t="shared" si="2"/>
        <v>42322</v>
      </c>
      <c r="B176" s="27"/>
      <c r="C176" s="8"/>
      <c r="D176" s="9"/>
      <c r="E176" s="8"/>
      <c r="F176" s="8"/>
      <c r="G176" s="8"/>
      <c r="H176" s="8"/>
      <c r="I176" s="9"/>
      <c r="J176" s="9"/>
      <c r="K176" s="9"/>
      <c r="L176" s="8"/>
      <c r="M176" s="9"/>
      <c r="N176" s="9"/>
      <c r="O176" s="9"/>
      <c r="P176" s="19"/>
      <c r="Q176" s="10"/>
    </row>
    <row r="177" spans="1:17">
      <c r="A177" s="7">
        <f t="shared" si="2"/>
        <v>42323</v>
      </c>
      <c r="B177" s="27"/>
      <c r="C177" s="8"/>
      <c r="D177" s="9"/>
      <c r="E177" s="8"/>
      <c r="F177" s="8"/>
      <c r="G177" s="8"/>
      <c r="H177" s="8"/>
      <c r="I177" s="9"/>
      <c r="J177" s="9"/>
      <c r="K177" s="9"/>
      <c r="L177" s="8"/>
      <c r="M177" s="9"/>
      <c r="N177" s="9"/>
      <c r="O177" s="9"/>
      <c r="P177" s="19"/>
      <c r="Q177" s="10"/>
    </row>
    <row r="178" spans="1:17">
      <c r="A178" s="7">
        <f t="shared" si="2"/>
        <v>42324</v>
      </c>
      <c r="B178" s="27"/>
      <c r="C178" s="27"/>
      <c r="D178" s="21"/>
      <c r="E178" s="27"/>
      <c r="F178" s="29">
        <f>IFERROR(IF(INPUTS!B179="Male", 86.01*LOG(C178-D178)-70.041*LOG(INPUTS!B$7)+30.3, 163.205*LOG('CUTTING TRACKER'!C178+'CUTTING TRACKER'!E178-'CUTTING TRACKER'!D178)-97.684*LOG(INPUTS!B$7)-104.912),0)</f>
        <v>0</v>
      </c>
      <c r="G178" s="29">
        <f>(B178)*((100-F178)/100)</f>
        <v>0</v>
      </c>
      <c r="H178" s="11" t="str">
        <f>IF(B178&gt;0, AVERAGE(B172:B178), " ")</f>
        <v xml:space="preserve"> </v>
      </c>
      <c r="I178" s="12">
        <f>IFERROR(IF(B178&gt;0, (H171-H178)/H171,0.007), 0)</f>
        <v>7.0000000000000001E-3</v>
      </c>
      <c r="J178" s="13" t="str">
        <f>IF(I178&lt;0, "Cut 200kcal", "")</f>
        <v/>
      </c>
      <c r="K178" s="13" t="str">
        <f>IF(AND(I178&lt;0.005, I178&gt;=0), "Cut 100kcal", "")</f>
        <v/>
      </c>
      <c r="L178" s="13" t="str">
        <f>IF(AND(I178&lt;0.006, I178&gt;=0.005), "Cut 50kcal", "")</f>
        <v/>
      </c>
      <c r="M178" s="13" t="str">
        <f>IF(AND(I178&lt;0.008, I178&gt;=0.006), "Remain Constant", "")</f>
        <v>Remain Constant</v>
      </c>
      <c r="N178" s="13" t="str">
        <f>IF(AND(I178&gt;=0.008,I178&lt;0.01), "Add 50kcal", "")</f>
        <v/>
      </c>
      <c r="O178" s="13" t="str">
        <f>IF(I178&gt;=0.01, "Add 100kcal", "")</f>
        <v/>
      </c>
      <c r="P178" s="20"/>
      <c r="Q178" s="5" t="str">
        <f>IF(P178&gt;0,Q171+P178,"")</f>
        <v/>
      </c>
    </row>
    <row r="179" spans="1:17">
      <c r="A179" s="7">
        <f t="shared" si="2"/>
        <v>42325</v>
      </c>
      <c r="B179" s="27"/>
      <c r="C179" s="8"/>
      <c r="D179" s="9"/>
      <c r="E179" s="8"/>
      <c r="F179" s="8"/>
      <c r="G179" s="8"/>
      <c r="H179" s="8"/>
      <c r="I179" s="9"/>
      <c r="J179" s="9"/>
      <c r="K179" s="9"/>
      <c r="L179" s="8"/>
      <c r="M179" s="9"/>
      <c r="N179" s="9"/>
      <c r="O179" s="9"/>
      <c r="P179" s="19"/>
      <c r="Q179" s="10"/>
    </row>
    <row r="180" spans="1:17">
      <c r="A180" s="7">
        <f t="shared" si="2"/>
        <v>42326</v>
      </c>
      <c r="B180" s="27"/>
      <c r="C180" s="8"/>
      <c r="D180" s="9"/>
      <c r="E180" s="8"/>
      <c r="F180" s="8"/>
      <c r="G180" s="8"/>
      <c r="H180" s="8"/>
      <c r="I180" s="9"/>
      <c r="J180" s="9"/>
      <c r="K180" s="9"/>
      <c r="L180" s="8"/>
      <c r="M180" s="9"/>
      <c r="N180" s="9"/>
      <c r="O180" s="9"/>
      <c r="P180" s="19"/>
      <c r="Q180" s="10"/>
    </row>
    <row r="181" spans="1:17">
      <c r="A181" s="7">
        <f t="shared" si="2"/>
        <v>42327</v>
      </c>
      <c r="B181" s="27"/>
      <c r="C181" s="8"/>
      <c r="D181" s="9"/>
      <c r="E181" s="8"/>
      <c r="F181" s="8"/>
      <c r="G181" s="8"/>
      <c r="H181" s="8"/>
      <c r="I181" s="9"/>
      <c r="J181" s="9"/>
      <c r="K181" s="9"/>
      <c r="L181" s="8"/>
      <c r="M181" s="9"/>
      <c r="N181" s="9"/>
      <c r="O181" s="9"/>
      <c r="P181" s="19"/>
      <c r="Q181" s="10"/>
    </row>
    <row r="182" spans="1:17">
      <c r="A182" s="7">
        <f t="shared" si="2"/>
        <v>42328</v>
      </c>
      <c r="B182" s="27"/>
      <c r="C182" s="8"/>
      <c r="D182" s="9"/>
      <c r="E182" s="8"/>
      <c r="F182" s="8"/>
      <c r="G182" s="8"/>
      <c r="H182" s="8"/>
      <c r="I182" s="9"/>
      <c r="J182" s="9"/>
      <c r="K182" s="9"/>
      <c r="L182" s="8"/>
      <c r="M182" s="9"/>
      <c r="N182" s="9"/>
      <c r="O182" s="9"/>
      <c r="P182" s="19"/>
      <c r="Q182" s="10"/>
    </row>
    <row r="183" spans="1:17">
      <c r="A183" s="7">
        <f t="shared" si="2"/>
        <v>42329</v>
      </c>
      <c r="B183" s="27"/>
      <c r="C183" s="8"/>
      <c r="D183" s="9"/>
      <c r="E183" s="8"/>
      <c r="F183" s="8"/>
      <c r="G183" s="8"/>
      <c r="H183" s="8"/>
      <c r="I183" s="9"/>
      <c r="J183" s="9"/>
      <c r="K183" s="9"/>
      <c r="L183" s="8"/>
      <c r="M183" s="9"/>
      <c r="N183" s="9"/>
      <c r="O183" s="9"/>
      <c r="P183" s="19"/>
      <c r="Q183" s="10"/>
    </row>
    <row r="184" spans="1:17">
      <c r="A184" s="7">
        <f t="shared" si="2"/>
        <v>42330</v>
      </c>
      <c r="B184" s="27"/>
      <c r="C184" s="8"/>
      <c r="D184" s="9"/>
      <c r="E184" s="8"/>
      <c r="F184" s="8"/>
      <c r="G184" s="8"/>
      <c r="H184" s="8"/>
      <c r="I184" s="9"/>
      <c r="J184" s="9"/>
      <c r="K184" s="9"/>
      <c r="L184" s="8"/>
      <c r="M184" s="9"/>
      <c r="N184" s="9"/>
      <c r="O184" s="9"/>
      <c r="P184" s="19"/>
      <c r="Q184" s="10"/>
    </row>
    <row r="185" spans="1:17">
      <c r="A185" s="7">
        <f t="shared" si="2"/>
        <v>42331</v>
      </c>
      <c r="B185" s="27"/>
      <c r="C185" s="27"/>
      <c r="D185" s="21"/>
      <c r="E185" s="27"/>
      <c r="F185" s="29">
        <f>IFERROR(IF(INPUTS!B186="Male", 86.01*LOG(C185-D185)-70.041*LOG(INPUTS!B$7)+30.3, 163.205*LOG('CUTTING TRACKER'!C185+'CUTTING TRACKER'!E185-'CUTTING TRACKER'!D185)-97.684*LOG(INPUTS!B$7)-104.912),0)</f>
        <v>0</v>
      </c>
      <c r="G185" s="29">
        <f>(B185)*((100-F185)/100)</f>
        <v>0</v>
      </c>
      <c r="H185" s="11" t="str">
        <f>IF(B185&gt;0, AVERAGE(B179:B185), " ")</f>
        <v xml:space="preserve"> </v>
      </c>
      <c r="I185" s="12">
        <f>IFERROR(IF(B185&gt;0, (H178-H185)/H178,0.007), 0)</f>
        <v>7.0000000000000001E-3</v>
      </c>
      <c r="J185" s="13" t="str">
        <f>IF(I185&lt;0, "Cut 200kcal", "")</f>
        <v/>
      </c>
      <c r="K185" s="13" t="str">
        <f>IF(AND(I185&lt;0.005, I185&gt;=0), "Cut 100kcal", "")</f>
        <v/>
      </c>
      <c r="L185" s="13" t="str">
        <f>IF(AND(I185&lt;0.006, I185&gt;=0.005), "Cut 50kcal", "")</f>
        <v/>
      </c>
      <c r="M185" s="13" t="str">
        <f>IF(AND(I185&lt;0.008, I185&gt;=0.006), "Remain Constant", "")</f>
        <v>Remain Constant</v>
      </c>
      <c r="N185" s="13" t="str">
        <f>IF(AND(I185&gt;=0.008,I185&lt;0.01), "Add 50kcal", "")</f>
        <v/>
      </c>
      <c r="O185" s="13" t="str">
        <f>IF(I185&gt;=0.01, "Add 100kcal", "")</f>
        <v/>
      </c>
      <c r="P185" s="20"/>
      <c r="Q185" s="5" t="str">
        <f>IF(P185&gt;0,Q178+P185,"")</f>
        <v/>
      </c>
    </row>
    <row r="186" spans="1:17">
      <c r="A186" s="7">
        <f t="shared" si="2"/>
        <v>42332</v>
      </c>
      <c r="B186" s="27"/>
      <c r="C186" s="8"/>
      <c r="D186" s="9"/>
      <c r="E186" s="8"/>
      <c r="F186" s="8"/>
      <c r="G186" s="8"/>
      <c r="H186" s="8"/>
      <c r="I186" s="9"/>
      <c r="J186" s="9"/>
      <c r="K186" s="9"/>
      <c r="L186" s="8"/>
      <c r="M186" s="9"/>
      <c r="N186" s="9"/>
      <c r="O186" s="9"/>
      <c r="P186" s="19"/>
      <c r="Q186" s="10"/>
    </row>
    <row r="187" spans="1:17">
      <c r="A187" s="7">
        <f t="shared" si="2"/>
        <v>42333</v>
      </c>
      <c r="B187" s="27"/>
      <c r="C187" s="8"/>
      <c r="D187" s="9"/>
      <c r="E187" s="8"/>
      <c r="F187" s="8"/>
      <c r="G187" s="8"/>
      <c r="H187" s="8"/>
      <c r="I187" s="9"/>
      <c r="J187" s="9"/>
      <c r="K187" s="9"/>
      <c r="L187" s="8"/>
      <c r="M187" s="9"/>
      <c r="N187" s="9"/>
      <c r="O187" s="9"/>
      <c r="P187" s="19"/>
      <c r="Q187" s="10"/>
    </row>
    <row r="188" spans="1:17">
      <c r="A188" s="7">
        <f t="shared" si="2"/>
        <v>42334</v>
      </c>
      <c r="B188" s="27"/>
      <c r="C188" s="8"/>
      <c r="D188" s="9"/>
      <c r="E188" s="8"/>
      <c r="F188" s="8"/>
      <c r="G188" s="8"/>
      <c r="H188" s="8"/>
      <c r="I188" s="9"/>
      <c r="J188" s="9"/>
      <c r="K188" s="9"/>
      <c r="L188" s="8"/>
      <c r="M188" s="9"/>
      <c r="N188" s="9"/>
      <c r="O188" s="9"/>
      <c r="P188" s="19"/>
      <c r="Q188" s="10"/>
    </row>
    <row r="189" spans="1:17">
      <c r="A189" s="7">
        <f t="shared" si="2"/>
        <v>42335</v>
      </c>
      <c r="B189" s="27"/>
      <c r="C189" s="8"/>
      <c r="D189" s="9"/>
      <c r="E189" s="8"/>
      <c r="F189" s="8"/>
      <c r="G189" s="8"/>
      <c r="H189" s="8"/>
      <c r="I189" s="9"/>
      <c r="J189" s="9"/>
      <c r="K189" s="9"/>
      <c r="L189" s="8"/>
      <c r="M189" s="9"/>
      <c r="N189" s="9"/>
      <c r="O189" s="9"/>
      <c r="P189" s="19"/>
      <c r="Q189" s="10"/>
    </row>
    <row r="190" spans="1:17">
      <c r="A190" s="7">
        <f t="shared" si="2"/>
        <v>42336</v>
      </c>
      <c r="B190" s="27"/>
      <c r="C190" s="8"/>
      <c r="D190" s="9"/>
      <c r="E190" s="8"/>
      <c r="F190" s="8"/>
      <c r="G190" s="8"/>
      <c r="H190" s="8"/>
      <c r="I190" s="9"/>
      <c r="J190" s="9"/>
      <c r="K190" s="9"/>
      <c r="L190" s="8"/>
      <c r="M190" s="9"/>
      <c r="N190" s="9"/>
      <c r="O190" s="9"/>
      <c r="P190" s="19"/>
      <c r="Q190" s="10"/>
    </row>
    <row r="191" spans="1:17">
      <c r="A191" s="7">
        <f t="shared" si="2"/>
        <v>42337</v>
      </c>
      <c r="B191" s="27"/>
      <c r="C191" s="8"/>
      <c r="D191" s="9"/>
      <c r="E191" s="8"/>
      <c r="F191" s="8"/>
      <c r="G191" s="8"/>
      <c r="H191" s="8"/>
      <c r="I191" s="9"/>
      <c r="J191" s="9"/>
      <c r="K191" s="9"/>
      <c r="L191" s="8"/>
      <c r="M191" s="9"/>
      <c r="N191" s="9"/>
      <c r="O191" s="9"/>
      <c r="P191" s="19"/>
      <c r="Q191" s="10"/>
    </row>
    <row r="192" spans="1:17">
      <c r="A192" s="7">
        <f t="shared" si="2"/>
        <v>42338</v>
      </c>
      <c r="B192" s="27"/>
      <c r="C192" s="27"/>
      <c r="D192" s="21"/>
      <c r="E192" s="27"/>
      <c r="F192" s="29">
        <f>IFERROR(IF(INPUTS!B193="Male", 86.01*LOG(C192-D192)-70.041*LOG(INPUTS!B$7)+30.3, 163.205*LOG('CUTTING TRACKER'!C192+'CUTTING TRACKER'!E192-'CUTTING TRACKER'!D192)-97.684*LOG(INPUTS!B$7)-104.912),0)</f>
        <v>0</v>
      </c>
      <c r="G192" s="29">
        <f>(B192)*((100-F192)/100)</f>
        <v>0</v>
      </c>
      <c r="H192" s="11" t="str">
        <f>IF(B192&gt;0, AVERAGE(B186:B192), " ")</f>
        <v xml:space="preserve"> </v>
      </c>
      <c r="I192" s="12">
        <f>IFERROR(IF(B192&gt;0, (H185-H192)/H185,0.007), 0)</f>
        <v>7.0000000000000001E-3</v>
      </c>
      <c r="J192" s="13" t="str">
        <f>IF(I192&lt;0, "Cut 200kcal", "")</f>
        <v/>
      </c>
      <c r="K192" s="13" t="str">
        <f>IF(AND(I192&lt;0.005, I192&gt;=0), "Cut 100kcal", "")</f>
        <v/>
      </c>
      <c r="L192" s="13" t="str">
        <f>IF(AND(I192&lt;0.006, I192&gt;=0.005), "Cut 50kcal", "")</f>
        <v/>
      </c>
      <c r="M192" s="13" t="str">
        <f>IF(AND(I192&lt;0.008, I192&gt;=0.006), "Remain Constant", "")</f>
        <v>Remain Constant</v>
      </c>
      <c r="N192" s="13" t="str">
        <f>IF(AND(I192&gt;=0.008,I192&lt;0.01), "Add 50kcal", "")</f>
        <v/>
      </c>
      <c r="O192" s="13" t="str">
        <f>IF(I192&gt;=0.01, "Add 100kcal", "")</f>
        <v/>
      </c>
      <c r="P192" s="20"/>
      <c r="Q192" s="5" t="str">
        <f>IF(P192&gt;0,Q185+P192,"")</f>
        <v/>
      </c>
    </row>
    <row r="193" spans="1:17">
      <c r="A193" s="7">
        <f t="shared" si="2"/>
        <v>42339</v>
      </c>
      <c r="B193" s="27"/>
      <c r="C193" s="8"/>
      <c r="D193" s="9"/>
      <c r="E193" s="8"/>
      <c r="F193" s="8"/>
      <c r="G193" s="8"/>
      <c r="H193" s="8"/>
      <c r="I193" s="9"/>
      <c r="J193" s="9"/>
      <c r="K193" s="9"/>
      <c r="L193" s="8"/>
      <c r="M193" s="9"/>
      <c r="N193" s="9"/>
      <c r="O193" s="9"/>
      <c r="P193" s="19"/>
      <c r="Q193" s="10"/>
    </row>
    <row r="194" spans="1:17">
      <c r="A194" s="7">
        <f t="shared" si="2"/>
        <v>42340</v>
      </c>
      <c r="B194" s="27"/>
      <c r="C194" s="8"/>
      <c r="D194" s="9"/>
      <c r="E194" s="8"/>
      <c r="F194" s="8"/>
      <c r="G194" s="8"/>
      <c r="H194" s="8"/>
      <c r="I194" s="9"/>
      <c r="J194" s="9"/>
      <c r="K194" s="9"/>
      <c r="L194" s="8"/>
      <c r="M194" s="9"/>
      <c r="N194" s="9"/>
      <c r="O194" s="9"/>
      <c r="P194" s="19"/>
      <c r="Q194" s="10"/>
    </row>
    <row r="195" spans="1:17">
      <c r="A195" s="7">
        <f t="shared" si="2"/>
        <v>42341</v>
      </c>
      <c r="B195" s="27"/>
      <c r="C195" s="8"/>
      <c r="D195" s="9"/>
      <c r="E195" s="8"/>
      <c r="F195" s="8"/>
      <c r="G195" s="8"/>
      <c r="H195" s="8"/>
      <c r="I195" s="9"/>
      <c r="J195" s="9"/>
      <c r="K195" s="9"/>
      <c r="L195" s="8"/>
      <c r="M195" s="9"/>
      <c r="N195" s="9"/>
      <c r="O195" s="9"/>
      <c r="P195" s="19"/>
      <c r="Q195" s="10"/>
    </row>
    <row r="196" spans="1:17">
      <c r="A196" s="7">
        <f t="shared" si="2"/>
        <v>42342</v>
      </c>
      <c r="B196" s="27"/>
      <c r="C196" s="8"/>
      <c r="D196" s="9"/>
      <c r="E196" s="8"/>
      <c r="F196" s="8"/>
      <c r="G196" s="8"/>
      <c r="H196" s="8"/>
      <c r="I196" s="9"/>
      <c r="J196" s="9"/>
      <c r="K196" s="9"/>
      <c r="L196" s="8"/>
      <c r="M196" s="9"/>
      <c r="N196" s="9"/>
      <c r="O196" s="9"/>
      <c r="P196" s="19"/>
      <c r="Q196" s="10"/>
    </row>
    <row r="197" spans="1:17">
      <c r="A197" s="7">
        <f t="shared" ref="A197:A260" si="3">A196+1</f>
        <v>42343</v>
      </c>
      <c r="B197" s="27"/>
      <c r="C197" s="8"/>
      <c r="D197" s="9"/>
      <c r="E197" s="8"/>
      <c r="F197" s="8"/>
      <c r="G197" s="8"/>
      <c r="H197" s="8"/>
      <c r="I197" s="9"/>
      <c r="J197" s="9"/>
      <c r="K197" s="9"/>
      <c r="L197" s="8"/>
      <c r="M197" s="9"/>
      <c r="N197" s="9"/>
      <c r="O197" s="9"/>
      <c r="P197" s="19"/>
      <c r="Q197" s="10"/>
    </row>
    <row r="198" spans="1:17">
      <c r="A198" s="7">
        <f t="shared" si="3"/>
        <v>42344</v>
      </c>
      <c r="B198" s="27"/>
      <c r="C198" s="8"/>
      <c r="D198" s="9"/>
      <c r="E198" s="8"/>
      <c r="F198" s="8"/>
      <c r="G198" s="8"/>
      <c r="H198" s="8"/>
      <c r="I198" s="9"/>
      <c r="J198" s="9"/>
      <c r="K198" s="9"/>
      <c r="L198" s="8"/>
      <c r="M198" s="9"/>
      <c r="N198" s="9"/>
      <c r="O198" s="9"/>
      <c r="P198" s="19"/>
      <c r="Q198" s="10"/>
    </row>
    <row r="199" spans="1:17">
      <c r="A199" s="7">
        <f t="shared" si="3"/>
        <v>42345</v>
      </c>
      <c r="B199" s="27"/>
      <c r="C199" s="27"/>
      <c r="D199" s="21"/>
      <c r="E199" s="27"/>
      <c r="F199" s="29">
        <f>IFERROR(IF(INPUTS!B200="Male", 86.01*LOG(C199-D199)-70.041*LOG(INPUTS!B$7)+30.3, 163.205*LOG('CUTTING TRACKER'!C199+'CUTTING TRACKER'!E199-'CUTTING TRACKER'!D199)-97.684*LOG(INPUTS!B$7)-104.912),0)</f>
        <v>0</v>
      </c>
      <c r="G199" s="29">
        <f>(B199)*((100-F199)/100)</f>
        <v>0</v>
      </c>
      <c r="H199" s="11" t="str">
        <f>IF(B199&gt;0, AVERAGE(B193:B199), " ")</f>
        <v xml:space="preserve"> </v>
      </c>
      <c r="I199" s="12">
        <f>IFERROR(IF(B199&gt;0, (H192-H199)/H192,0.007), 0)</f>
        <v>7.0000000000000001E-3</v>
      </c>
      <c r="J199" s="13" t="str">
        <f>IF(I199&lt;0, "Cut 200kcal", "")</f>
        <v/>
      </c>
      <c r="K199" s="13" t="str">
        <f>IF(AND(I199&lt;0.005, I199&gt;=0), "Cut 100kcal", "")</f>
        <v/>
      </c>
      <c r="L199" s="13" t="str">
        <f>IF(AND(I199&lt;0.006, I199&gt;=0.005), "Cut 50kcal", "")</f>
        <v/>
      </c>
      <c r="M199" s="13" t="str">
        <f>IF(AND(I199&lt;0.008, I199&gt;=0.006), "Remain Constant", "")</f>
        <v>Remain Constant</v>
      </c>
      <c r="N199" s="13" t="str">
        <f>IF(AND(I199&gt;=0.008,I199&lt;0.01), "Add 50kcal", "")</f>
        <v/>
      </c>
      <c r="O199" s="13" t="str">
        <f>IF(I199&gt;=0.01, "Add 100kcal", "")</f>
        <v/>
      </c>
      <c r="P199" s="20"/>
      <c r="Q199" s="5" t="str">
        <f>IF(P199&gt;0,Q192+P199,"")</f>
        <v/>
      </c>
    </row>
    <row r="200" spans="1:17">
      <c r="A200" s="7">
        <f t="shared" si="3"/>
        <v>42346</v>
      </c>
      <c r="B200" s="27"/>
      <c r="C200" s="8"/>
      <c r="D200" s="9"/>
      <c r="E200" s="8"/>
      <c r="F200" s="8"/>
      <c r="G200" s="8"/>
      <c r="H200" s="8"/>
      <c r="I200" s="9"/>
      <c r="J200" s="9"/>
      <c r="K200" s="9"/>
      <c r="L200" s="8"/>
      <c r="M200" s="9"/>
      <c r="N200" s="9"/>
      <c r="O200" s="9"/>
      <c r="P200" s="19"/>
      <c r="Q200" s="10"/>
    </row>
    <row r="201" spans="1:17">
      <c r="A201" s="7">
        <f t="shared" si="3"/>
        <v>42347</v>
      </c>
      <c r="B201" s="27"/>
      <c r="C201" s="8"/>
      <c r="D201" s="9"/>
      <c r="E201" s="8"/>
      <c r="F201" s="8"/>
      <c r="G201" s="8"/>
      <c r="H201" s="8"/>
      <c r="I201" s="9"/>
      <c r="J201" s="9"/>
      <c r="K201" s="9"/>
      <c r="L201" s="8"/>
      <c r="M201" s="9"/>
      <c r="N201" s="9"/>
      <c r="O201" s="9"/>
      <c r="P201" s="19"/>
      <c r="Q201" s="10"/>
    </row>
    <row r="202" spans="1:17">
      <c r="A202" s="7">
        <f t="shared" si="3"/>
        <v>42348</v>
      </c>
      <c r="B202" s="27"/>
      <c r="C202" s="8"/>
      <c r="D202" s="9"/>
      <c r="E202" s="8"/>
      <c r="F202" s="8"/>
      <c r="G202" s="8"/>
      <c r="H202" s="8"/>
      <c r="I202" s="9"/>
      <c r="J202" s="9"/>
      <c r="K202" s="9"/>
      <c r="L202" s="8"/>
      <c r="M202" s="9"/>
      <c r="N202" s="9"/>
      <c r="O202" s="9"/>
      <c r="P202" s="19"/>
      <c r="Q202" s="10"/>
    </row>
    <row r="203" spans="1:17">
      <c r="A203" s="7">
        <f t="shared" si="3"/>
        <v>42349</v>
      </c>
      <c r="B203" s="27"/>
      <c r="C203" s="8"/>
      <c r="D203" s="9"/>
      <c r="E203" s="8"/>
      <c r="F203" s="8"/>
      <c r="G203" s="8"/>
      <c r="H203" s="8"/>
      <c r="I203" s="9"/>
      <c r="J203" s="9"/>
      <c r="K203" s="9"/>
      <c r="L203" s="8"/>
      <c r="M203" s="9"/>
      <c r="N203" s="9"/>
      <c r="O203" s="9"/>
      <c r="P203" s="19"/>
      <c r="Q203" s="10"/>
    </row>
    <row r="204" spans="1:17">
      <c r="A204" s="7">
        <f t="shared" si="3"/>
        <v>42350</v>
      </c>
      <c r="B204" s="27"/>
      <c r="C204" s="8"/>
      <c r="D204" s="9"/>
      <c r="E204" s="8"/>
      <c r="F204" s="8"/>
      <c r="G204" s="8"/>
      <c r="H204" s="8"/>
      <c r="I204" s="9"/>
      <c r="J204" s="9"/>
      <c r="K204" s="9"/>
      <c r="L204" s="8"/>
      <c r="M204" s="9"/>
      <c r="N204" s="9"/>
      <c r="O204" s="9"/>
      <c r="P204" s="19"/>
      <c r="Q204" s="10"/>
    </row>
    <row r="205" spans="1:17">
      <c r="A205" s="7">
        <f t="shared" si="3"/>
        <v>42351</v>
      </c>
      <c r="B205" s="27"/>
      <c r="C205" s="8"/>
      <c r="D205" s="9"/>
      <c r="E205" s="8"/>
      <c r="F205" s="8"/>
      <c r="G205" s="8"/>
      <c r="H205" s="8"/>
      <c r="I205" s="9"/>
      <c r="J205" s="9"/>
      <c r="K205" s="9"/>
      <c r="L205" s="8"/>
      <c r="M205" s="9"/>
      <c r="N205" s="9"/>
      <c r="O205" s="9"/>
      <c r="P205" s="19"/>
      <c r="Q205" s="10"/>
    </row>
    <row r="206" spans="1:17">
      <c r="A206" s="7">
        <f t="shared" si="3"/>
        <v>42352</v>
      </c>
      <c r="B206" s="27"/>
      <c r="C206" s="27"/>
      <c r="D206" s="21"/>
      <c r="E206" s="27"/>
      <c r="F206" s="29">
        <f>IFERROR(IF(INPUTS!B207="Male", 86.01*LOG(C206-D206)-70.041*LOG(INPUTS!B$7)+30.3, 163.205*LOG('CUTTING TRACKER'!C206+'CUTTING TRACKER'!E206-'CUTTING TRACKER'!D206)-97.684*LOG(INPUTS!B$7)-104.912),0)</f>
        <v>0</v>
      </c>
      <c r="G206" s="29">
        <f>(B206)*((100-F206)/100)</f>
        <v>0</v>
      </c>
      <c r="H206" s="11" t="str">
        <f>IF(B206&gt;0, AVERAGE(B200:B206), " ")</f>
        <v xml:space="preserve"> </v>
      </c>
      <c r="I206" s="12">
        <f>IFERROR(IF(B206&gt;0, (H199-H206)/H199,0.007), 0)</f>
        <v>7.0000000000000001E-3</v>
      </c>
      <c r="J206" s="13" t="str">
        <f>IF(I206&lt;0, "Cut 200kcal", "")</f>
        <v/>
      </c>
      <c r="K206" s="13" t="str">
        <f>IF(AND(I206&lt;0.005, I206&gt;=0), "Cut 100kcal", "")</f>
        <v/>
      </c>
      <c r="L206" s="13" t="str">
        <f>IF(AND(I206&lt;0.006, I206&gt;=0.005), "Cut 50kcal", "")</f>
        <v/>
      </c>
      <c r="M206" s="13" t="str">
        <f>IF(AND(I206&lt;0.008, I206&gt;=0.006), "Remain Constant", "")</f>
        <v>Remain Constant</v>
      </c>
      <c r="N206" s="13" t="str">
        <f>IF(AND(I206&gt;=0.008,I206&lt;0.01), "Add 50kcal", "")</f>
        <v/>
      </c>
      <c r="O206" s="13" t="str">
        <f>IF(I206&gt;=0.01, "Add 100kcal", "")</f>
        <v/>
      </c>
      <c r="P206" s="20"/>
      <c r="Q206" s="5" t="str">
        <f>IF(P206&gt;0,Q199+P206,"")</f>
        <v/>
      </c>
    </row>
    <row r="207" spans="1:17">
      <c r="A207" s="7">
        <f t="shared" si="3"/>
        <v>42353</v>
      </c>
      <c r="B207" s="27"/>
      <c r="C207" s="8"/>
      <c r="D207" s="9"/>
      <c r="E207" s="8"/>
      <c r="F207" s="8"/>
      <c r="G207" s="8"/>
      <c r="H207" s="8"/>
      <c r="I207" s="9"/>
      <c r="J207" s="9"/>
      <c r="K207" s="9"/>
      <c r="L207" s="8"/>
      <c r="M207" s="9"/>
      <c r="N207" s="9"/>
      <c r="O207" s="9"/>
      <c r="P207" s="19"/>
      <c r="Q207" s="10"/>
    </row>
    <row r="208" spans="1:17">
      <c r="A208" s="7">
        <f t="shared" si="3"/>
        <v>42354</v>
      </c>
      <c r="B208" s="27"/>
      <c r="C208" s="8"/>
      <c r="D208" s="9"/>
      <c r="E208" s="8"/>
      <c r="F208" s="8"/>
      <c r="G208" s="8"/>
      <c r="H208" s="8"/>
      <c r="I208" s="9"/>
      <c r="J208" s="9"/>
      <c r="K208" s="9"/>
      <c r="L208" s="8"/>
      <c r="M208" s="9"/>
      <c r="N208" s="9"/>
      <c r="O208" s="9"/>
      <c r="P208" s="19"/>
      <c r="Q208" s="10"/>
    </row>
    <row r="209" spans="1:17">
      <c r="A209" s="7">
        <f t="shared" si="3"/>
        <v>42355</v>
      </c>
      <c r="B209" s="27"/>
      <c r="C209" s="8"/>
      <c r="D209" s="9"/>
      <c r="E209" s="8"/>
      <c r="F209" s="8"/>
      <c r="G209" s="8"/>
      <c r="H209" s="8"/>
      <c r="I209" s="9"/>
      <c r="J209" s="9"/>
      <c r="K209" s="9"/>
      <c r="L209" s="8"/>
      <c r="M209" s="9"/>
      <c r="N209" s="9"/>
      <c r="O209" s="9"/>
      <c r="P209" s="19"/>
      <c r="Q209" s="10"/>
    </row>
    <row r="210" spans="1:17">
      <c r="A210" s="7">
        <f t="shared" si="3"/>
        <v>42356</v>
      </c>
      <c r="B210" s="27"/>
      <c r="C210" s="8"/>
      <c r="D210" s="9"/>
      <c r="E210" s="8"/>
      <c r="F210" s="8"/>
      <c r="G210" s="8"/>
      <c r="H210" s="8"/>
      <c r="I210" s="9"/>
      <c r="J210" s="9"/>
      <c r="K210" s="9"/>
      <c r="L210" s="8"/>
      <c r="M210" s="9"/>
      <c r="N210" s="9"/>
      <c r="O210" s="9"/>
      <c r="P210" s="19"/>
      <c r="Q210" s="10"/>
    </row>
    <row r="211" spans="1:17">
      <c r="A211" s="7">
        <f t="shared" si="3"/>
        <v>42357</v>
      </c>
      <c r="B211" s="27"/>
      <c r="C211" s="8"/>
      <c r="D211" s="9"/>
      <c r="E211" s="8"/>
      <c r="F211" s="8"/>
      <c r="G211" s="8"/>
      <c r="H211" s="8"/>
      <c r="I211" s="9"/>
      <c r="J211" s="9"/>
      <c r="K211" s="9"/>
      <c r="L211" s="8"/>
      <c r="M211" s="9"/>
      <c r="N211" s="9"/>
      <c r="O211" s="9"/>
      <c r="P211" s="19"/>
      <c r="Q211" s="10"/>
    </row>
    <row r="212" spans="1:17">
      <c r="A212" s="7">
        <f t="shared" si="3"/>
        <v>42358</v>
      </c>
      <c r="B212" s="27"/>
      <c r="C212" s="8"/>
      <c r="D212" s="9"/>
      <c r="E212" s="8"/>
      <c r="F212" s="8"/>
      <c r="G212" s="8"/>
      <c r="H212" s="8"/>
      <c r="I212" s="9"/>
      <c r="J212" s="9"/>
      <c r="K212" s="9"/>
      <c r="L212" s="8"/>
      <c r="M212" s="9"/>
      <c r="N212" s="9"/>
      <c r="O212" s="9"/>
      <c r="P212" s="19"/>
      <c r="Q212" s="10"/>
    </row>
    <row r="213" spans="1:17">
      <c r="A213" s="7">
        <f t="shared" si="3"/>
        <v>42359</v>
      </c>
      <c r="B213" s="27"/>
      <c r="C213" s="27"/>
      <c r="D213" s="21"/>
      <c r="E213" s="27"/>
      <c r="F213" s="29">
        <f>IFERROR(IF(INPUTS!B214="Male", 86.01*LOG(C213-D213)-70.041*LOG(INPUTS!B$7)+30.3, 163.205*LOG('CUTTING TRACKER'!C213+'CUTTING TRACKER'!E213-'CUTTING TRACKER'!D213)-97.684*LOG(INPUTS!B$7)-104.912),0)</f>
        <v>0</v>
      </c>
      <c r="G213" s="29">
        <f>(B213)*((100-F213)/100)</f>
        <v>0</v>
      </c>
      <c r="H213" s="11" t="str">
        <f>IF(B213&gt;0, AVERAGE(B207:B213), " ")</f>
        <v xml:space="preserve"> </v>
      </c>
      <c r="I213" s="12">
        <f>IFERROR(IF(B213&gt;0, (H206-H213)/H206,0.007), 0)</f>
        <v>7.0000000000000001E-3</v>
      </c>
      <c r="J213" s="13" t="str">
        <f>IF(I213&lt;0, "Cut 200kcal", "")</f>
        <v/>
      </c>
      <c r="K213" s="13" t="str">
        <f>IF(AND(I213&lt;0.005, I213&gt;=0), "Cut 100kcal", "")</f>
        <v/>
      </c>
      <c r="L213" s="13" t="str">
        <f>IF(AND(I213&lt;0.006, I213&gt;=0.005), "Cut 50kcal", "")</f>
        <v/>
      </c>
      <c r="M213" s="13" t="str">
        <f>IF(AND(I213&lt;0.008, I213&gt;=0.006), "Remain Constant", "")</f>
        <v>Remain Constant</v>
      </c>
      <c r="N213" s="13" t="str">
        <f>IF(AND(I213&gt;=0.008,I213&lt;0.01), "Add 50kcal", "")</f>
        <v/>
      </c>
      <c r="O213" s="13" t="str">
        <f>IF(I213&gt;=0.01, "Add 100kcal", "")</f>
        <v/>
      </c>
      <c r="P213" s="20"/>
      <c r="Q213" s="5" t="str">
        <f>IF(P213&gt;0,Q206+P213,"")</f>
        <v/>
      </c>
    </row>
    <row r="214" spans="1:17">
      <c r="A214" s="7">
        <f t="shared" si="3"/>
        <v>42360</v>
      </c>
      <c r="B214" s="27"/>
      <c r="C214" s="8"/>
      <c r="D214" s="9"/>
      <c r="E214" s="8"/>
      <c r="F214" s="8"/>
      <c r="G214" s="8"/>
      <c r="H214" s="8"/>
      <c r="I214" s="9"/>
      <c r="J214" s="9"/>
      <c r="K214" s="9"/>
      <c r="L214" s="8"/>
      <c r="M214" s="9"/>
      <c r="N214" s="9"/>
      <c r="O214" s="9"/>
      <c r="P214" s="19"/>
      <c r="Q214" s="10"/>
    </row>
    <row r="215" spans="1:17">
      <c r="A215" s="7">
        <f t="shared" si="3"/>
        <v>42361</v>
      </c>
      <c r="B215" s="27"/>
      <c r="C215" s="8"/>
      <c r="D215" s="9"/>
      <c r="E215" s="8"/>
      <c r="F215" s="8"/>
      <c r="G215" s="8"/>
      <c r="H215" s="8"/>
      <c r="I215" s="9"/>
      <c r="J215" s="9"/>
      <c r="K215" s="9"/>
      <c r="L215" s="8"/>
      <c r="M215" s="9"/>
      <c r="N215" s="9"/>
      <c r="O215" s="9"/>
      <c r="P215" s="19"/>
      <c r="Q215" s="10"/>
    </row>
    <row r="216" spans="1:17">
      <c r="A216" s="7">
        <f t="shared" si="3"/>
        <v>42362</v>
      </c>
      <c r="B216" s="27"/>
      <c r="C216" s="8"/>
      <c r="D216" s="9"/>
      <c r="E216" s="8"/>
      <c r="F216" s="8"/>
      <c r="G216" s="8"/>
      <c r="H216" s="8"/>
      <c r="I216" s="9"/>
      <c r="J216" s="9"/>
      <c r="K216" s="9"/>
      <c r="L216" s="8"/>
      <c r="M216" s="9"/>
      <c r="N216" s="9"/>
      <c r="O216" s="9"/>
      <c r="P216" s="19"/>
      <c r="Q216" s="10"/>
    </row>
    <row r="217" spans="1:17">
      <c r="A217" s="7">
        <f t="shared" si="3"/>
        <v>42363</v>
      </c>
      <c r="B217" s="27"/>
      <c r="C217" s="8"/>
      <c r="D217" s="9"/>
      <c r="E217" s="8"/>
      <c r="F217" s="8"/>
      <c r="G217" s="8"/>
      <c r="H217" s="8"/>
      <c r="I217" s="9"/>
      <c r="J217" s="9"/>
      <c r="K217" s="9"/>
      <c r="L217" s="8"/>
      <c r="M217" s="9"/>
      <c r="N217" s="9"/>
      <c r="O217" s="9"/>
      <c r="P217" s="19"/>
      <c r="Q217" s="10"/>
    </row>
    <row r="218" spans="1:17">
      <c r="A218" s="7">
        <f t="shared" si="3"/>
        <v>42364</v>
      </c>
      <c r="B218" s="27"/>
      <c r="C218" s="8"/>
      <c r="D218" s="9"/>
      <c r="E218" s="8"/>
      <c r="F218" s="8"/>
      <c r="G218" s="8"/>
      <c r="H218" s="8"/>
      <c r="I218" s="9"/>
      <c r="J218" s="9"/>
      <c r="K218" s="9"/>
      <c r="L218" s="8"/>
      <c r="M218" s="9"/>
      <c r="N218" s="9"/>
      <c r="O218" s="9"/>
      <c r="P218" s="19"/>
      <c r="Q218" s="10"/>
    </row>
    <row r="219" spans="1:17">
      <c r="A219" s="7">
        <f t="shared" si="3"/>
        <v>42365</v>
      </c>
      <c r="B219" s="27"/>
      <c r="C219" s="8"/>
      <c r="D219" s="9"/>
      <c r="E219" s="8"/>
      <c r="F219" s="8"/>
      <c r="G219" s="8"/>
      <c r="H219" s="8"/>
      <c r="I219" s="9"/>
      <c r="J219" s="9"/>
      <c r="K219" s="9"/>
      <c r="L219" s="8"/>
      <c r="M219" s="9"/>
      <c r="N219" s="9"/>
      <c r="O219" s="9"/>
      <c r="P219" s="19"/>
      <c r="Q219" s="10"/>
    </row>
    <row r="220" spans="1:17">
      <c r="A220" s="7">
        <f t="shared" si="3"/>
        <v>42366</v>
      </c>
      <c r="B220" s="27"/>
      <c r="C220" s="27"/>
      <c r="D220" s="21"/>
      <c r="E220" s="27"/>
      <c r="F220" s="29">
        <f>IFERROR(IF(INPUTS!B221="Male", 86.01*LOG(C220-D220)-70.041*LOG(INPUTS!B$7)+30.3, 163.205*LOG('CUTTING TRACKER'!C220+'CUTTING TRACKER'!E220-'CUTTING TRACKER'!D220)-97.684*LOG(INPUTS!B$7)-104.912),0)</f>
        <v>0</v>
      </c>
      <c r="G220" s="29">
        <f>(B220)*((100-F220)/100)</f>
        <v>0</v>
      </c>
      <c r="H220" s="11" t="str">
        <f>IF(B220&gt;0, AVERAGE(B214:B220), " ")</f>
        <v xml:space="preserve"> </v>
      </c>
      <c r="I220" s="12">
        <f>IFERROR(IF(B220&gt;0, (H213-H220)/H213,0.007), 0)</f>
        <v>7.0000000000000001E-3</v>
      </c>
      <c r="J220" s="13" t="str">
        <f>IF(I220&lt;0, "Cut 200kcal", "")</f>
        <v/>
      </c>
      <c r="K220" s="13" t="str">
        <f>IF(AND(I220&lt;0.005, I220&gt;=0), "Cut 100kcal", "")</f>
        <v/>
      </c>
      <c r="L220" s="13" t="str">
        <f>IF(AND(I220&lt;0.006, I220&gt;=0.005), "Cut 50kcal", "")</f>
        <v/>
      </c>
      <c r="M220" s="13" t="str">
        <f>IF(AND(I220&lt;0.008, I220&gt;=0.006), "Remain Constant", "")</f>
        <v>Remain Constant</v>
      </c>
      <c r="N220" s="13" t="str">
        <f>IF(AND(I220&gt;=0.008,I220&lt;0.01), "Add 50kcal", "")</f>
        <v/>
      </c>
      <c r="O220" s="13" t="str">
        <f>IF(I220&gt;=0.01, "Add 100kcal", "")</f>
        <v/>
      </c>
      <c r="P220" s="20"/>
      <c r="Q220" s="5" t="str">
        <f>IF(P220&gt;0,Q213+P220,"")</f>
        <v/>
      </c>
    </row>
    <row r="221" spans="1:17">
      <c r="A221" s="7">
        <f t="shared" si="3"/>
        <v>42367</v>
      </c>
      <c r="B221" s="27"/>
      <c r="C221" s="8"/>
      <c r="D221" s="9"/>
      <c r="E221" s="8"/>
      <c r="F221" s="8"/>
      <c r="G221" s="8"/>
      <c r="H221" s="8"/>
      <c r="I221" s="9"/>
      <c r="J221" s="9"/>
      <c r="K221" s="9"/>
      <c r="L221" s="8"/>
      <c r="M221" s="9"/>
      <c r="N221" s="9"/>
      <c r="O221" s="9"/>
      <c r="P221" s="19"/>
      <c r="Q221" s="10"/>
    </row>
    <row r="222" spans="1:17">
      <c r="A222" s="7">
        <f t="shared" si="3"/>
        <v>42368</v>
      </c>
      <c r="B222" s="27"/>
      <c r="C222" s="8"/>
      <c r="D222" s="9"/>
      <c r="E222" s="8"/>
      <c r="F222" s="8"/>
      <c r="G222" s="8"/>
      <c r="H222" s="8"/>
      <c r="I222" s="9"/>
      <c r="J222" s="9"/>
      <c r="K222" s="9"/>
      <c r="L222" s="8"/>
      <c r="M222" s="9"/>
      <c r="N222" s="9"/>
      <c r="O222" s="9"/>
      <c r="P222" s="19"/>
      <c r="Q222" s="10"/>
    </row>
    <row r="223" spans="1:17">
      <c r="A223" s="7">
        <f t="shared" si="3"/>
        <v>42369</v>
      </c>
      <c r="B223" s="27"/>
      <c r="C223" s="8"/>
      <c r="D223" s="9"/>
      <c r="E223" s="8"/>
      <c r="F223" s="8"/>
      <c r="G223" s="8"/>
      <c r="H223" s="8"/>
      <c r="I223" s="9"/>
      <c r="J223" s="9"/>
      <c r="K223" s="9"/>
      <c r="L223" s="8"/>
      <c r="M223" s="9"/>
      <c r="N223" s="9"/>
      <c r="O223" s="9"/>
      <c r="P223" s="19"/>
      <c r="Q223" s="10"/>
    </row>
    <row r="224" spans="1:17">
      <c r="A224" s="7">
        <f t="shared" si="3"/>
        <v>42370</v>
      </c>
      <c r="B224" s="27"/>
      <c r="C224" s="8"/>
      <c r="D224" s="9"/>
      <c r="E224" s="8"/>
      <c r="F224" s="8"/>
      <c r="G224" s="8"/>
      <c r="H224" s="8"/>
      <c r="I224" s="9"/>
      <c r="J224" s="9"/>
      <c r="K224" s="9"/>
      <c r="L224" s="8"/>
      <c r="M224" s="9"/>
      <c r="N224" s="9"/>
      <c r="O224" s="9"/>
      <c r="P224" s="19"/>
      <c r="Q224" s="10"/>
    </row>
    <row r="225" spans="1:17">
      <c r="A225" s="7">
        <f t="shared" si="3"/>
        <v>42371</v>
      </c>
      <c r="B225" s="27"/>
      <c r="C225" s="8"/>
      <c r="D225" s="9"/>
      <c r="E225" s="8"/>
      <c r="F225" s="8"/>
      <c r="G225" s="8"/>
      <c r="H225" s="8"/>
      <c r="I225" s="9"/>
      <c r="J225" s="9"/>
      <c r="K225" s="9"/>
      <c r="L225" s="8"/>
      <c r="M225" s="9"/>
      <c r="N225" s="9"/>
      <c r="O225" s="9"/>
      <c r="P225" s="19"/>
      <c r="Q225" s="10"/>
    </row>
    <row r="226" spans="1:17">
      <c r="A226" s="7">
        <f t="shared" si="3"/>
        <v>42372</v>
      </c>
      <c r="B226" s="27"/>
      <c r="C226" s="8"/>
      <c r="D226" s="9"/>
      <c r="E226" s="8"/>
      <c r="F226" s="8"/>
      <c r="G226" s="8"/>
      <c r="H226" s="8"/>
      <c r="I226" s="9"/>
      <c r="J226" s="9"/>
      <c r="K226" s="9"/>
      <c r="L226" s="8"/>
      <c r="M226" s="9"/>
      <c r="N226" s="9"/>
      <c r="O226" s="9"/>
      <c r="P226" s="19"/>
      <c r="Q226" s="10"/>
    </row>
    <row r="227" spans="1:17">
      <c r="A227" s="7">
        <f t="shared" si="3"/>
        <v>42373</v>
      </c>
      <c r="B227" s="27"/>
      <c r="C227" s="27"/>
      <c r="D227" s="21"/>
      <c r="E227" s="27"/>
      <c r="F227" s="29">
        <f>IFERROR(IF(INPUTS!B228="Male", 86.01*LOG(C227-D227)-70.041*LOG(INPUTS!B$7)+30.3, 163.205*LOG('CUTTING TRACKER'!C227+'CUTTING TRACKER'!E227-'CUTTING TRACKER'!D227)-97.684*LOG(INPUTS!B$7)-104.912),0)</f>
        <v>0</v>
      </c>
      <c r="G227" s="29">
        <f>(B227)*((100-F227)/100)</f>
        <v>0</v>
      </c>
      <c r="H227" s="11" t="str">
        <f>IF(B227&gt;0, AVERAGE(B221:B227), " ")</f>
        <v xml:space="preserve"> </v>
      </c>
      <c r="I227" s="12">
        <f>IFERROR(IF(B227&gt;0, (H220-H227)/H220,0.007), 0)</f>
        <v>7.0000000000000001E-3</v>
      </c>
      <c r="J227" s="13" t="str">
        <f>IF(I227&lt;0, "Cut 200kcal", "")</f>
        <v/>
      </c>
      <c r="K227" s="13" t="str">
        <f>IF(AND(I227&lt;0.005, I227&gt;=0), "Cut 100kcal", "")</f>
        <v/>
      </c>
      <c r="L227" s="13" t="str">
        <f>IF(AND(I227&lt;0.006, I227&gt;=0.005), "Cut 50kcal", "")</f>
        <v/>
      </c>
      <c r="M227" s="13" t="str">
        <f>IF(AND(I227&lt;0.008, I227&gt;=0.006), "Remain Constant", "")</f>
        <v>Remain Constant</v>
      </c>
      <c r="N227" s="13" t="str">
        <f>IF(AND(I227&gt;=0.008,I227&lt;0.01), "Add 50kcal", "")</f>
        <v/>
      </c>
      <c r="O227" s="13" t="str">
        <f>IF(I227&gt;=0.01, "Add 100kcal", "")</f>
        <v/>
      </c>
      <c r="P227" s="20"/>
      <c r="Q227" s="5" t="str">
        <f>IF(P227&gt;0,Q220+P227,"")</f>
        <v/>
      </c>
    </row>
    <row r="228" spans="1:17">
      <c r="A228" s="7">
        <f t="shared" si="3"/>
        <v>42374</v>
      </c>
      <c r="B228" s="27"/>
      <c r="C228" s="8"/>
      <c r="D228" s="9"/>
      <c r="E228" s="8"/>
      <c r="F228" s="8"/>
      <c r="G228" s="8"/>
      <c r="H228" s="8"/>
      <c r="I228" s="9"/>
      <c r="J228" s="9"/>
      <c r="K228" s="9"/>
      <c r="L228" s="8"/>
      <c r="M228" s="9"/>
      <c r="N228" s="9"/>
      <c r="O228" s="9"/>
      <c r="P228" s="19"/>
      <c r="Q228" s="10"/>
    </row>
    <row r="229" spans="1:17">
      <c r="A229" s="7">
        <f t="shared" si="3"/>
        <v>42375</v>
      </c>
      <c r="B229" s="27"/>
      <c r="C229" s="8"/>
      <c r="D229" s="9"/>
      <c r="E229" s="8"/>
      <c r="F229" s="8"/>
      <c r="G229" s="8"/>
      <c r="H229" s="8"/>
      <c r="I229" s="9"/>
      <c r="J229" s="9"/>
      <c r="K229" s="9"/>
      <c r="L229" s="8"/>
      <c r="M229" s="9"/>
      <c r="N229" s="9"/>
      <c r="O229" s="9"/>
      <c r="P229" s="19"/>
      <c r="Q229" s="10"/>
    </row>
    <row r="230" spans="1:17">
      <c r="A230" s="7">
        <f t="shared" si="3"/>
        <v>42376</v>
      </c>
      <c r="B230" s="27"/>
      <c r="C230" s="8"/>
      <c r="D230" s="9"/>
      <c r="E230" s="8"/>
      <c r="F230" s="8"/>
      <c r="G230" s="8"/>
      <c r="H230" s="8"/>
      <c r="I230" s="9"/>
      <c r="J230" s="9"/>
      <c r="K230" s="9"/>
      <c r="L230" s="8"/>
      <c r="M230" s="9"/>
      <c r="N230" s="9"/>
      <c r="O230" s="9"/>
      <c r="P230" s="19"/>
      <c r="Q230" s="10"/>
    </row>
    <row r="231" spans="1:17">
      <c r="A231" s="7">
        <f t="shared" si="3"/>
        <v>42377</v>
      </c>
      <c r="B231" s="27"/>
      <c r="C231" s="8"/>
      <c r="D231" s="9"/>
      <c r="E231" s="8"/>
      <c r="F231" s="8"/>
      <c r="G231" s="8"/>
      <c r="H231" s="8"/>
      <c r="I231" s="9"/>
      <c r="J231" s="9"/>
      <c r="K231" s="9"/>
      <c r="L231" s="8"/>
      <c r="M231" s="9"/>
      <c r="N231" s="9"/>
      <c r="O231" s="9"/>
      <c r="P231" s="19"/>
      <c r="Q231" s="10"/>
    </row>
    <row r="232" spans="1:17">
      <c r="A232" s="7">
        <f t="shared" si="3"/>
        <v>42378</v>
      </c>
      <c r="B232" s="27"/>
      <c r="C232" s="8"/>
      <c r="D232" s="9"/>
      <c r="E232" s="8"/>
      <c r="F232" s="8"/>
      <c r="G232" s="8"/>
      <c r="H232" s="8"/>
      <c r="I232" s="9"/>
      <c r="J232" s="9"/>
      <c r="K232" s="9"/>
      <c r="L232" s="8"/>
      <c r="M232" s="9"/>
      <c r="N232" s="9"/>
      <c r="O232" s="9"/>
      <c r="P232" s="19"/>
      <c r="Q232" s="10"/>
    </row>
    <row r="233" spans="1:17">
      <c r="A233" s="7">
        <f t="shared" si="3"/>
        <v>42379</v>
      </c>
      <c r="B233" s="27"/>
      <c r="C233" s="8"/>
      <c r="D233" s="9"/>
      <c r="E233" s="8"/>
      <c r="F233" s="8"/>
      <c r="G233" s="8"/>
      <c r="H233" s="8"/>
      <c r="I233" s="9"/>
      <c r="J233" s="9"/>
      <c r="K233" s="9"/>
      <c r="L233" s="8"/>
      <c r="M233" s="9"/>
      <c r="N233" s="9"/>
      <c r="O233" s="9"/>
      <c r="P233" s="19"/>
      <c r="Q233" s="10"/>
    </row>
    <row r="234" spans="1:17">
      <c r="A234" s="7">
        <f t="shared" si="3"/>
        <v>42380</v>
      </c>
      <c r="B234" s="27"/>
      <c r="C234" s="27"/>
      <c r="D234" s="21"/>
      <c r="E234" s="27"/>
      <c r="F234" s="29">
        <f>IFERROR(IF(INPUTS!B235="Male", 86.01*LOG(C234-D234)-70.041*LOG(INPUTS!B$7)+30.3, 163.205*LOG('CUTTING TRACKER'!C234+'CUTTING TRACKER'!E234-'CUTTING TRACKER'!D234)-97.684*LOG(INPUTS!B$7)-104.912),0)</f>
        <v>0</v>
      </c>
      <c r="G234" s="29">
        <f>(B234)*((100-F234)/100)</f>
        <v>0</v>
      </c>
      <c r="H234" s="11" t="str">
        <f>IF(B234&gt;0, AVERAGE(B228:B234), " ")</f>
        <v xml:space="preserve"> </v>
      </c>
      <c r="I234" s="12">
        <f>IFERROR(IF(B234&gt;0, (H227-H234)/H227,0.007), 0)</f>
        <v>7.0000000000000001E-3</v>
      </c>
      <c r="J234" s="13" t="str">
        <f>IF(I234&lt;0, "Cut 200kcal", "")</f>
        <v/>
      </c>
      <c r="K234" s="13" t="str">
        <f>IF(AND(I234&lt;0.005, I234&gt;=0), "Cut 100kcal", "")</f>
        <v/>
      </c>
      <c r="L234" s="13" t="str">
        <f>IF(AND(I234&lt;0.006, I234&gt;=0.005), "Cut 50kcal", "")</f>
        <v/>
      </c>
      <c r="M234" s="13" t="str">
        <f>IF(AND(I234&lt;0.008, I234&gt;=0.006), "Remain Constant", "")</f>
        <v>Remain Constant</v>
      </c>
      <c r="N234" s="13" t="str">
        <f>IF(AND(I234&gt;=0.008,I234&lt;0.01), "Add 50kcal", "")</f>
        <v/>
      </c>
      <c r="O234" s="13" t="str">
        <f>IF(I234&gt;=0.01, "Add 100kcal", "")</f>
        <v/>
      </c>
      <c r="P234" s="20"/>
      <c r="Q234" s="5" t="str">
        <f>IF(P234&gt;0,Q227+P234,"")</f>
        <v/>
      </c>
    </row>
    <row r="235" spans="1:17">
      <c r="A235" s="7">
        <f t="shared" si="3"/>
        <v>42381</v>
      </c>
      <c r="B235" s="27"/>
      <c r="C235" s="8"/>
      <c r="D235" s="9"/>
      <c r="E235" s="8"/>
      <c r="F235" s="8"/>
      <c r="G235" s="8"/>
      <c r="H235" s="8"/>
      <c r="I235" s="9"/>
      <c r="J235" s="9"/>
      <c r="K235" s="9"/>
      <c r="L235" s="8"/>
      <c r="M235" s="9"/>
      <c r="N235" s="9"/>
      <c r="O235" s="9"/>
      <c r="P235" s="19"/>
      <c r="Q235" s="10"/>
    </row>
    <row r="236" spans="1:17">
      <c r="A236" s="7">
        <f t="shared" si="3"/>
        <v>42382</v>
      </c>
      <c r="B236" s="27"/>
      <c r="C236" s="8"/>
      <c r="D236" s="9"/>
      <c r="E236" s="8"/>
      <c r="F236" s="8"/>
      <c r="G236" s="8"/>
      <c r="H236" s="8"/>
      <c r="I236" s="9"/>
      <c r="J236" s="9"/>
      <c r="K236" s="9"/>
      <c r="L236" s="8"/>
      <c r="M236" s="9"/>
      <c r="N236" s="9"/>
      <c r="O236" s="9"/>
      <c r="P236" s="19"/>
      <c r="Q236" s="10"/>
    </row>
    <row r="237" spans="1:17">
      <c r="A237" s="7">
        <f t="shared" si="3"/>
        <v>42383</v>
      </c>
      <c r="B237" s="27"/>
      <c r="C237" s="8"/>
      <c r="D237" s="9"/>
      <c r="E237" s="8"/>
      <c r="F237" s="8"/>
      <c r="G237" s="8"/>
      <c r="H237" s="8"/>
      <c r="I237" s="9"/>
      <c r="J237" s="9"/>
      <c r="K237" s="9"/>
      <c r="L237" s="8"/>
      <c r="M237" s="9"/>
      <c r="N237" s="9"/>
      <c r="O237" s="9"/>
      <c r="P237" s="19"/>
      <c r="Q237" s="10"/>
    </row>
    <row r="238" spans="1:17">
      <c r="A238" s="7">
        <f t="shared" si="3"/>
        <v>42384</v>
      </c>
      <c r="B238" s="27"/>
      <c r="C238" s="8"/>
      <c r="D238" s="9"/>
      <c r="E238" s="8"/>
      <c r="F238" s="8"/>
      <c r="G238" s="8"/>
      <c r="H238" s="8"/>
      <c r="I238" s="9"/>
      <c r="J238" s="9"/>
      <c r="K238" s="9"/>
      <c r="L238" s="8"/>
      <c r="M238" s="9"/>
      <c r="N238" s="9"/>
      <c r="O238" s="9"/>
      <c r="P238" s="19"/>
      <c r="Q238" s="10"/>
    </row>
    <row r="239" spans="1:17">
      <c r="A239" s="7">
        <f t="shared" si="3"/>
        <v>42385</v>
      </c>
      <c r="B239" s="27"/>
      <c r="C239" s="8"/>
      <c r="D239" s="9"/>
      <c r="E239" s="8"/>
      <c r="F239" s="8"/>
      <c r="G239" s="8"/>
      <c r="H239" s="8"/>
      <c r="I239" s="9"/>
      <c r="J239" s="9"/>
      <c r="K239" s="9"/>
      <c r="L239" s="8"/>
      <c r="M239" s="9"/>
      <c r="N239" s="9"/>
      <c r="O239" s="9"/>
      <c r="P239" s="19"/>
      <c r="Q239" s="10"/>
    </row>
    <row r="240" spans="1:17">
      <c r="A240" s="7">
        <f t="shared" si="3"/>
        <v>42386</v>
      </c>
      <c r="B240" s="27"/>
      <c r="C240" s="8"/>
      <c r="D240" s="9"/>
      <c r="E240" s="8"/>
      <c r="F240" s="8"/>
      <c r="G240" s="8"/>
      <c r="H240" s="8"/>
      <c r="I240" s="9"/>
      <c r="J240" s="9"/>
      <c r="K240" s="9"/>
      <c r="L240" s="8"/>
      <c r="M240" s="9"/>
      <c r="N240" s="9"/>
      <c r="O240" s="9"/>
      <c r="P240" s="19"/>
      <c r="Q240" s="10"/>
    </row>
    <row r="241" spans="1:17">
      <c r="A241" s="7">
        <f t="shared" si="3"/>
        <v>42387</v>
      </c>
      <c r="B241" s="27"/>
      <c r="C241" s="27"/>
      <c r="D241" s="21"/>
      <c r="E241" s="27"/>
      <c r="F241" s="29">
        <f>IFERROR(IF(INPUTS!B242="Male", 86.01*LOG(C241-D241)-70.041*LOG(INPUTS!B$7)+30.3, 163.205*LOG('CUTTING TRACKER'!C241+'CUTTING TRACKER'!E241-'CUTTING TRACKER'!D241)-97.684*LOG(INPUTS!B$7)-104.912),0)</f>
        <v>0</v>
      </c>
      <c r="G241" s="29"/>
      <c r="H241" s="11" t="str">
        <f>IF(B241&gt;0, AVERAGE(B235:B241), " ")</f>
        <v xml:space="preserve"> </v>
      </c>
      <c r="I241" s="12">
        <f>IFERROR(IF(B241&gt;0, (H234-H241)/H234,0.007), 0)</f>
        <v>7.0000000000000001E-3</v>
      </c>
      <c r="J241" s="13" t="str">
        <f>IF(I241&lt;0, "Cut 200kcal", "")</f>
        <v/>
      </c>
      <c r="K241" s="13" t="str">
        <f>IF(AND(I241&lt;0.005, I241&gt;=0), "Cut 100kcal", "")</f>
        <v/>
      </c>
      <c r="L241" s="13" t="str">
        <f>IF(AND(I241&lt;0.006, I241&gt;=0.005), "Cut 50kcal", "")</f>
        <v/>
      </c>
      <c r="M241" s="13" t="str">
        <f>IF(AND(I241&lt;0.008, I241&gt;=0.006), "Remain Constant", "")</f>
        <v>Remain Constant</v>
      </c>
      <c r="N241" s="13" t="str">
        <f>IF(AND(I241&gt;=0.008,I241&lt;0.01), "Add 50kcal", "")</f>
        <v/>
      </c>
      <c r="O241" s="13" t="str">
        <f>IF(I241&gt;=0.01, "Add 100kcal", "")</f>
        <v/>
      </c>
      <c r="P241" s="20"/>
      <c r="Q241" s="5" t="str">
        <f>IF(P241&gt;0,Q234+P241,"")</f>
        <v/>
      </c>
    </row>
    <row r="242" spans="1:17">
      <c r="A242" s="7">
        <f t="shared" si="3"/>
        <v>42388</v>
      </c>
      <c r="B242" s="27"/>
      <c r="C242" s="8"/>
      <c r="D242" s="9"/>
      <c r="E242" s="8"/>
      <c r="F242" s="8"/>
      <c r="G242" s="8"/>
      <c r="H242" s="8"/>
      <c r="I242" s="9"/>
      <c r="J242" s="9"/>
      <c r="K242" s="9"/>
      <c r="L242" s="8"/>
      <c r="M242" s="9"/>
      <c r="N242" s="9"/>
      <c r="O242" s="9"/>
      <c r="P242" s="19"/>
      <c r="Q242" s="10"/>
    </row>
    <row r="243" spans="1:17">
      <c r="A243" s="7">
        <f t="shared" si="3"/>
        <v>42389</v>
      </c>
      <c r="B243" s="27"/>
      <c r="C243" s="8"/>
      <c r="D243" s="9"/>
      <c r="E243" s="8"/>
      <c r="F243" s="8"/>
      <c r="G243" s="8"/>
      <c r="H243" s="8"/>
      <c r="I243" s="9"/>
      <c r="J243" s="9"/>
      <c r="K243" s="9"/>
      <c r="L243" s="8"/>
      <c r="M243" s="9"/>
      <c r="N243" s="9"/>
      <c r="O243" s="9"/>
      <c r="P243" s="19"/>
      <c r="Q243" s="10"/>
    </row>
    <row r="244" spans="1:17">
      <c r="A244" s="7">
        <f t="shared" si="3"/>
        <v>42390</v>
      </c>
      <c r="B244" s="27"/>
      <c r="C244" s="8"/>
      <c r="D244" s="9"/>
      <c r="E244" s="8"/>
      <c r="F244" s="8"/>
      <c r="G244" s="8"/>
      <c r="H244" s="8"/>
      <c r="I244" s="9"/>
      <c r="J244" s="9"/>
      <c r="K244" s="9"/>
      <c r="L244" s="8"/>
      <c r="M244" s="9"/>
      <c r="N244" s="9"/>
      <c r="O244" s="9"/>
      <c r="P244" s="19"/>
      <c r="Q244" s="10"/>
    </row>
    <row r="245" spans="1:17">
      <c r="A245" s="7">
        <f t="shared" si="3"/>
        <v>42391</v>
      </c>
      <c r="B245" s="27"/>
      <c r="C245" s="8"/>
      <c r="D245" s="9"/>
      <c r="E245" s="8"/>
      <c r="F245" s="8"/>
      <c r="G245" s="8"/>
      <c r="H245" s="8"/>
      <c r="I245" s="9"/>
      <c r="J245" s="9"/>
      <c r="K245" s="9"/>
      <c r="L245" s="8"/>
      <c r="M245" s="9"/>
      <c r="N245" s="9"/>
      <c r="O245" s="9"/>
      <c r="P245" s="19"/>
      <c r="Q245" s="10"/>
    </row>
    <row r="246" spans="1:17">
      <c r="A246" s="7">
        <f t="shared" si="3"/>
        <v>42392</v>
      </c>
      <c r="B246" s="27"/>
      <c r="C246" s="8"/>
      <c r="D246" s="9"/>
      <c r="E246" s="8"/>
      <c r="F246" s="8"/>
      <c r="G246" s="8"/>
      <c r="H246" s="8"/>
      <c r="I246" s="9"/>
      <c r="J246" s="9"/>
      <c r="K246" s="9"/>
      <c r="L246" s="8"/>
      <c r="M246" s="9"/>
      <c r="N246" s="9"/>
      <c r="O246" s="9"/>
      <c r="P246" s="19"/>
      <c r="Q246" s="10"/>
    </row>
    <row r="247" spans="1:17">
      <c r="A247" s="7">
        <f t="shared" si="3"/>
        <v>42393</v>
      </c>
      <c r="B247" s="27"/>
      <c r="C247" s="8"/>
      <c r="D247" s="9"/>
      <c r="E247" s="8"/>
      <c r="F247" s="8"/>
      <c r="G247" s="8"/>
      <c r="H247" s="8"/>
      <c r="I247" s="9"/>
      <c r="J247" s="9"/>
      <c r="K247" s="9"/>
      <c r="L247" s="8"/>
      <c r="M247" s="9"/>
      <c r="N247" s="9"/>
      <c r="O247" s="9"/>
      <c r="P247" s="19"/>
      <c r="Q247" s="10"/>
    </row>
    <row r="248" spans="1:17">
      <c r="A248" s="7">
        <f t="shared" si="3"/>
        <v>42394</v>
      </c>
      <c r="B248" s="27"/>
      <c r="C248" s="27"/>
      <c r="D248" s="21"/>
      <c r="E248" s="27"/>
      <c r="F248" s="29">
        <f>IFERROR(IF(INPUTS!B249="Male", 86.01*LOG(C248-D248)-70.041*LOG(INPUTS!B$7)+30.3, 163.205*LOG('CUTTING TRACKER'!C248+'CUTTING TRACKER'!E248-'CUTTING TRACKER'!D248)-97.684*LOG(INPUTS!B$7)-104.912),0)</f>
        <v>0</v>
      </c>
      <c r="G248" s="29"/>
      <c r="H248" s="11" t="str">
        <f>IF(B248&gt;0, AVERAGE(B242:B248), " ")</f>
        <v xml:space="preserve"> </v>
      </c>
      <c r="I248" s="12">
        <f>IFERROR(IF(B248&gt;0, (H241-H248)/H241,0.007), 0)</f>
        <v>7.0000000000000001E-3</v>
      </c>
      <c r="J248" s="13" t="str">
        <f>IF(I248&lt;0, "Cut 200kcal", "")</f>
        <v/>
      </c>
      <c r="K248" s="13" t="str">
        <f>IF(AND(I248&lt;0.005, I248&gt;=0), "Cut 100kcal", "")</f>
        <v/>
      </c>
      <c r="L248" s="13" t="str">
        <f>IF(AND(I248&lt;0.006, I248&gt;=0.005), "Cut 50kcal", "")</f>
        <v/>
      </c>
      <c r="M248" s="13" t="str">
        <f>IF(AND(I248&lt;0.008, I248&gt;=0.006), "Remain Constant", "")</f>
        <v>Remain Constant</v>
      </c>
      <c r="N248" s="13" t="str">
        <f>IF(AND(I248&gt;=0.008,I248&lt;0.01), "Add 50kcal", "")</f>
        <v/>
      </c>
      <c r="O248" s="13" t="str">
        <f>IF(I248&gt;=0.01, "Add 100kcal", "")</f>
        <v/>
      </c>
      <c r="P248" s="20"/>
      <c r="Q248" s="5" t="str">
        <f>IF(P248&gt;0,Q241+P248,"")</f>
        <v/>
      </c>
    </row>
    <row r="249" spans="1:17">
      <c r="A249" s="7">
        <f t="shared" si="3"/>
        <v>42395</v>
      </c>
      <c r="B249" s="27"/>
      <c r="C249" s="8"/>
      <c r="D249" s="9"/>
      <c r="E249" s="8"/>
      <c r="F249" s="8"/>
      <c r="G249" s="8"/>
      <c r="H249" s="8"/>
      <c r="I249" s="9"/>
      <c r="J249" s="9"/>
      <c r="K249" s="9"/>
      <c r="L249" s="8"/>
      <c r="M249" s="9"/>
      <c r="N249" s="9"/>
      <c r="O249" s="9"/>
      <c r="P249" s="19"/>
      <c r="Q249" s="10"/>
    </row>
    <row r="250" spans="1:17">
      <c r="A250" s="7">
        <f t="shared" si="3"/>
        <v>42396</v>
      </c>
      <c r="B250" s="27"/>
      <c r="C250" s="8"/>
      <c r="D250" s="9"/>
      <c r="E250" s="8"/>
      <c r="F250" s="8"/>
      <c r="G250" s="8"/>
      <c r="H250" s="8"/>
      <c r="I250" s="9"/>
      <c r="J250" s="9"/>
      <c r="K250" s="9"/>
      <c r="L250" s="8"/>
      <c r="M250" s="9"/>
      <c r="N250" s="9"/>
      <c r="O250" s="9"/>
      <c r="P250" s="19"/>
      <c r="Q250" s="10"/>
    </row>
    <row r="251" spans="1:17">
      <c r="A251" s="7">
        <f t="shared" si="3"/>
        <v>42397</v>
      </c>
      <c r="B251" s="27"/>
      <c r="C251" s="8"/>
      <c r="D251" s="9"/>
      <c r="E251" s="8"/>
      <c r="F251" s="8"/>
      <c r="G251" s="8"/>
      <c r="H251" s="8"/>
      <c r="I251" s="9"/>
      <c r="J251" s="9"/>
      <c r="K251" s="9"/>
      <c r="L251" s="8"/>
      <c r="M251" s="9"/>
      <c r="N251" s="9"/>
      <c r="O251" s="9"/>
      <c r="P251" s="19"/>
      <c r="Q251" s="10"/>
    </row>
    <row r="252" spans="1:17">
      <c r="A252" s="7">
        <f t="shared" si="3"/>
        <v>42398</v>
      </c>
      <c r="B252" s="27"/>
      <c r="C252" s="8"/>
      <c r="D252" s="9"/>
      <c r="E252" s="8"/>
      <c r="F252" s="8"/>
      <c r="G252" s="8"/>
      <c r="H252" s="8"/>
      <c r="I252" s="9"/>
      <c r="J252" s="9"/>
      <c r="K252" s="9"/>
      <c r="L252" s="8"/>
      <c r="M252" s="9"/>
      <c r="N252" s="9"/>
      <c r="O252" s="9"/>
      <c r="P252" s="19"/>
      <c r="Q252" s="10"/>
    </row>
    <row r="253" spans="1:17">
      <c r="A253" s="7">
        <f t="shared" si="3"/>
        <v>42399</v>
      </c>
      <c r="B253" s="27"/>
      <c r="C253" s="8"/>
      <c r="D253" s="9"/>
      <c r="E253" s="8"/>
      <c r="F253" s="8"/>
      <c r="G253" s="8"/>
      <c r="H253" s="8"/>
      <c r="I253" s="9"/>
      <c r="J253" s="9"/>
      <c r="K253" s="9"/>
      <c r="L253" s="8"/>
      <c r="M253" s="9"/>
      <c r="N253" s="9"/>
      <c r="O253" s="9"/>
      <c r="P253" s="19"/>
      <c r="Q253" s="10"/>
    </row>
    <row r="254" spans="1:17">
      <c r="A254" s="7">
        <f t="shared" si="3"/>
        <v>42400</v>
      </c>
      <c r="B254" s="27"/>
      <c r="C254" s="8"/>
      <c r="D254" s="9"/>
      <c r="E254" s="8"/>
      <c r="F254" s="8"/>
      <c r="G254" s="8"/>
      <c r="H254" s="8"/>
      <c r="I254" s="9"/>
      <c r="J254" s="9"/>
      <c r="K254" s="9"/>
      <c r="L254" s="8"/>
      <c r="M254" s="9"/>
      <c r="N254" s="9"/>
      <c r="O254" s="9"/>
      <c r="P254" s="19"/>
      <c r="Q254" s="10"/>
    </row>
    <row r="255" spans="1:17">
      <c r="A255" s="7">
        <f t="shared" si="3"/>
        <v>42401</v>
      </c>
      <c r="B255" s="27"/>
      <c r="C255" s="27"/>
      <c r="D255" s="21"/>
      <c r="E255" s="27"/>
      <c r="F255" s="29">
        <f>IFERROR(IF(INPUTS!B256="Male", 86.01*LOG(C255-D255)-70.041*LOG(INPUTS!B$7)+30.3, 163.205*LOG('CUTTING TRACKER'!C255+'CUTTING TRACKER'!E255-'CUTTING TRACKER'!D255)-97.684*LOG(INPUTS!B$7)-104.912),0)</f>
        <v>0</v>
      </c>
      <c r="G255" s="29"/>
      <c r="H255" s="11" t="str">
        <f>IF(B255&gt;0, AVERAGE(B249:B255), " ")</f>
        <v xml:space="preserve"> </v>
      </c>
      <c r="I255" s="12">
        <f>IFERROR(IF(B255&gt;0, (H248-H255)/H248,0.007), 0)</f>
        <v>7.0000000000000001E-3</v>
      </c>
      <c r="J255" s="13" t="str">
        <f>IF(I255&lt;0, "Cut 200kcal", "")</f>
        <v/>
      </c>
      <c r="K255" s="13" t="str">
        <f>IF(AND(I255&lt;0.005, I255&gt;=0), "Cut 100kcal", "")</f>
        <v/>
      </c>
      <c r="L255" s="13" t="str">
        <f>IF(AND(I255&lt;0.006, I255&gt;=0.005), "Cut 50kcal", "")</f>
        <v/>
      </c>
      <c r="M255" s="13" t="str">
        <f>IF(AND(I255&lt;0.008, I255&gt;=0.006), "Remain Constant", "")</f>
        <v>Remain Constant</v>
      </c>
      <c r="N255" s="13" t="str">
        <f>IF(AND(I255&gt;=0.008,I255&lt;0.01), "Add 50kcal", "")</f>
        <v/>
      </c>
      <c r="O255" s="13" t="str">
        <f>IF(I255&gt;=0.01, "Add 100kcal", "")</f>
        <v/>
      </c>
      <c r="P255" s="20"/>
      <c r="Q255" s="5" t="str">
        <f>IF(P255&gt;0,Q248+P255,"")</f>
        <v/>
      </c>
    </row>
    <row r="256" spans="1:17">
      <c r="A256" s="7">
        <f t="shared" si="3"/>
        <v>42402</v>
      </c>
      <c r="B256" s="27"/>
      <c r="C256" s="8"/>
      <c r="D256" s="9"/>
      <c r="E256" s="8"/>
      <c r="F256" s="8"/>
      <c r="G256" s="8"/>
      <c r="H256" s="8"/>
      <c r="I256" s="9"/>
      <c r="J256" s="9"/>
      <c r="K256" s="9"/>
      <c r="L256" s="8"/>
      <c r="M256" s="9"/>
      <c r="N256" s="9"/>
      <c r="O256" s="9"/>
      <c r="P256" s="19"/>
      <c r="Q256" s="10"/>
    </row>
    <row r="257" spans="1:17">
      <c r="A257" s="7">
        <f t="shared" si="3"/>
        <v>42403</v>
      </c>
      <c r="B257" s="27"/>
      <c r="C257" s="8"/>
      <c r="D257" s="9"/>
      <c r="E257" s="8"/>
      <c r="F257" s="8"/>
      <c r="G257" s="8"/>
      <c r="H257" s="8"/>
      <c r="I257" s="9"/>
      <c r="J257" s="9"/>
      <c r="K257" s="9"/>
      <c r="L257" s="8"/>
      <c r="M257" s="9"/>
      <c r="N257" s="9"/>
      <c r="O257" s="9"/>
      <c r="P257" s="19"/>
      <c r="Q257" s="10"/>
    </row>
    <row r="258" spans="1:17">
      <c r="A258" s="7">
        <f t="shared" si="3"/>
        <v>42404</v>
      </c>
      <c r="B258" s="27"/>
      <c r="C258" s="8"/>
      <c r="D258" s="9"/>
      <c r="E258" s="8"/>
      <c r="F258" s="8"/>
      <c r="G258" s="8"/>
      <c r="H258" s="8"/>
      <c r="I258" s="9"/>
      <c r="J258" s="9"/>
      <c r="K258" s="9"/>
      <c r="L258" s="8"/>
      <c r="M258" s="9"/>
      <c r="N258" s="9"/>
      <c r="O258" s="9"/>
      <c r="P258" s="19"/>
      <c r="Q258" s="10"/>
    </row>
    <row r="259" spans="1:17">
      <c r="A259" s="7">
        <f t="shared" si="3"/>
        <v>42405</v>
      </c>
      <c r="B259" s="27"/>
      <c r="C259" s="8"/>
      <c r="D259" s="9"/>
      <c r="E259" s="8"/>
      <c r="F259" s="8"/>
      <c r="G259" s="8"/>
      <c r="H259" s="8"/>
      <c r="I259" s="9"/>
      <c r="J259" s="9"/>
      <c r="K259" s="9"/>
      <c r="L259" s="8"/>
      <c r="M259" s="9"/>
      <c r="N259" s="9"/>
      <c r="O259" s="9"/>
      <c r="P259" s="19"/>
      <c r="Q259" s="10"/>
    </row>
    <row r="260" spans="1:17">
      <c r="A260" s="7">
        <f t="shared" si="3"/>
        <v>42406</v>
      </c>
      <c r="B260" s="27"/>
      <c r="C260" s="8"/>
      <c r="D260" s="9"/>
      <c r="E260" s="8"/>
      <c r="F260" s="8"/>
      <c r="G260" s="8"/>
      <c r="H260" s="8"/>
      <c r="I260" s="9"/>
      <c r="J260" s="9"/>
      <c r="K260" s="9"/>
      <c r="L260" s="8"/>
      <c r="M260" s="9"/>
      <c r="N260" s="9"/>
      <c r="O260" s="9"/>
      <c r="P260" s="19"/>
      <c r="Q260" s="10"/>
    </row>
    <row r="261" spans="1:17">
      <c r="A261" s="7">
        <f t="shared" ref="A261:A324" si="4">A260+1</f>
        <v>42407</v>
      </c>
      <c r="B261" s="27"/>
      <c r="C261" s="8"/>
      <c r="D261" s="9"/>
      <c r="E261" s="8"/>
      <c r="F261" s="8"/>
      <c r="G261" s="8"/>
      <c r="H261" s="8"/>
      <c r="I261" s="9"/>
      <c r="J261" s="9"/>
      <c r="K261" s="9"/>
      <c r="L261" s="8"/>
      <c r="M261" s="9"/>
      <c r="N261" s="9"/>
      <c r="O261" s="9"/>
      <c r="P261" s="19"/>
      <c r="Q261" s="10"/>
    </row>
    <row r="262" spans="1:17">
      <c r="A262" s="7">
        <f t="shared" si="4"/>
        <v>42408</v>
      </c>
      <c r="B262" s="27"/>
      <c r="C262" s="27"/>
      <c r="D262" s="21"/>
      <c r="E262" s="27"/>
      <c r="F262" s="29">
        <f>IFERROR(IF(INPUTS!B263="Male", 86.01*LOG(C262-D262)-70.041*LOG(INPUTS!B$7)+30.3, 163.205*LOG('CUTTING TRACKER'!C262+'CUTTING TRACKER'!E262-'CUTTING TRACKER'!D262)-97.684*LOG(INPUTS!B$7)-104.912),0)</f>
        <v>0</v>
      </c>
      <c r="G262" s="29"/>
      <c r="H262" s="11" t="str">
        <f>IF(B262&gt;0, AVERAGE(B256:B262), " ")</f>
        <v xml:space="preserve"> </v>
      </c>
      <c r="I262" s="12">
        <f>IFERROR(IF(B262&gt;0, (H255-H262)/H255,0.007), 0)</f>
        <v>7.0000000000000001E-3</v>
      </c>
      <c r="J262" s="13" t="str">
        <f>IF(I262&lt;0, "Cut 200kcal", "")</f>
        <v/>
      </c>
      <c r="K262" s="13" t="str">
        <f>IF(AND(I262&lt;0.005, I262&gt;=0), "Cut 100kcal", "")</f>
        <v/>
      </c>
      <c r="L262" s="13" t="str">
        <f>IF(AND(I262&lt;0.006, I262&gt;=0.005), "Cut 50kcal", "")</f>
        <v/>
      </c>
      <c r="M262" s="13" t="str">
        <f>IF(AND(I262&lt;0.008, I262&gt;=0.006), "Remain Constant", "")</f>
        <v>Remain Constant</v>
      </c>
      <c r="N262" s="13" t="str">
        <f>IF(AND(I262&gt;=0.008,I262&lt;0.01), "Add 50kcal", "")</f>
        <v/>
      </c>
      <c r="O262" s="13" t="str">
        <f>IF(I262&gt;=0.01, "Add 100kcal", "")</f>
        <v/>
      </c>
      <c r="P262" s="20"/>
      <c r="Q262" s="5" t="str">
        <f>IF(P262&gt;0,Q255+P262,"")</f>
        <v/>
      </c>
    </row>
    <row r="263" spans="1:17">
      <c r="A263" s="7">
        <f t="shared" si="4"/>
        <v>42409</v>
      </c>
      <c r="B263" s="27"/>
      <c r="C263" s="8"/>
      <c r="D263" s="9"/>
      <c r="E263" s="8"/>
      <c r="F263" s="8"/>
      <c r="G263" s="8"/>
      <c r="H263" s="8"/>
      <c r="I263" s="9"/>
      <c r="J263" s="9"/>
      <c r="K263" s="9"/>
      <c r="L263" s="8"/>
      <c r="M263" s="9"/>
      <c r="N263" s="9"/>
      <c r="O263" s="9"/>
      <c r="P263" s="19"/>
      <c r="Q263" s="10"/>
    </row>
    <row r="264" spans="1:17">
      <c r="A264" s="7">
        <f t="shared" si="4"/>
        <v>42410</v>
      </c>
      <c r="B264" s="27"/>
      <c r="C264" s="8"/>
      <c r="D264" s="9"/>
      <c r="E264" s="8"/>
      <c r="F264" s="8"/>
      <c r="G264" s="8"/>
      <c r="H264" s="8"/>
      <c r="I264" s="9"/>
      <c r="J264" s="9"/>
      <c r="K264" s="9"/>
      <c r="L264" s="8"/>
      <c r="M264" s="9"/>
      <c r="N264" s="9"/>
      <c r="O264" s="9"/>
      <c r="P264" s="19"/>
      <c r="Q264" s="10"/>
    </row>
    <row r="265" spans="1:17">
      <c r="A265" s="7">
        <f t="shared" si="4"/>
        <v>42411</v>
      </c>
      <c r="B265" s="27"/>
      <c r="C265" s="8"/>
      <c r="D265" s="9"/>
      <c r="E265" s="8"/>
      <c r="F265" s="8"/>
      <c r="G265" s="8"/>
      <c r="H265" s="8"/>
      <c r="I265" s="9"/>
      <c r="J265" s="9"/>
      <c r="K265" s="9"/>
      <c r="L265" s="8"/>
      <c r="M265" s="9"/>
      <c r="N265" s="9"/>
      <c r="O265" s="9"/>
      <c r="P265" s="19"/>
      <c r="Q265" s="10"/>
    </row>
    <row r="266" spans="1:17">
      <c r="A266" s="7">
        <f t="shared" si="4"/>
        <v>42412</v>
      </c>
      <c r="B266" s="27"/>
      <c r="C266" s="8"/>
      <c r="D266" s="9"/>
      <c r="E266" s="8"/>
      <c r="F266" s="8"/>
      <c r="G266" s="8"/>
      <c r="H266" s="8"/>
      <c r="I266" s="9"/>
      <c r="J266" s="9"/>
      <c r="K266" s="9"/>
      <c r="L266" s="8"/>
      <c r="M266" s="9"/>
      <c r="N266" s="9"/>
      <c r="O266" s="9"/>
      <c r="P266" s="19"/>
      <c r="Q266" s="10"/>
    </row>
    <row r="267" spans="1:17">
      <c r="A267" s="7">
        <f t="shared" si="4"/>
        <v>42413</v>
      </c>
      <c r="B267" s="27"/>
      <c r="C267" s="8"/>
      <c r="D267" s="9"/>
      <c r="E267" s="8"/>
      <c r="F267" s="8"/>
      <c r="G267" s="8"/>
      <c r="H267" s="8"/>
      <c r="I267" s="9"/>
      <c r="J267" s="9"/>
      <c r="K267" s="9"/>
      <c r="L267" s="8"/>
      <c r="M267" s="9"/>
      <c r="N267" s="9"/>
      <c r="O267" s="9"/>
      <c r="P267" s="19"/>
      <c r="Q267" s="10"/>
    </row>
    <row r="268" spans="1:17">
      <c r="A268" s="7">
        <f t="shared" si="4"/>
        <v>42414</v>
      </c>
      <c r="B268" s="27"/>
      <c r="C268" s="8"/>
      <c r="D268" s="9"/>
      <c r="E268" s="8"/>
      <c r="F268" s="8"/>
      <c r="G268" s="8"/>
      <c r="H268" s="8"/>
      <c r="I268" s="9"/>
      <c r="J268" s="9"/>
      <c r="K268" s="9"/>
      <c r="L268" s="8"/>
      <c r="M268" s="9"/>
      <c r="N268" s="9"/>
      <c r="O268" s="9"/>
      <c r="P268" s="19"/>
      <c r="Q268" s="10"/>
    </row>
    <row r="269" spans="1:17">
      <c r="A269" s="7">
        <f t="shared" si="4"/>
        <v>42415</v>
      </c>
      <c r="B269" s="27"/>
      <c r="C269" s="27"/>
      <c r="D269" s="21"/>
      <c r="E269" s="27"/>
      <c r="F269" s="29">
        <f>IFERROR(IF(INPUTS!B270="Male", 86.01*LOG(C269-D269)-70.041*LOG(INPUTS!B$7)+30.3, 163.205*LOG('CUTTING TRACKER'!C269+'CUTTING TRACKER'!E269-'CUTTING TRACKER'!D269)-97.684*LOG(INPUTS!B$7)-104.912),0)</f>
        <v>0</v>
      </c>
      <c r="G269" s="29"/>
      <c r="H269" s="11" t="str">
        <f>IF(B269&gt;0, AVERAGE(B263:B269), " ")</f>
        <v xml:space="preserve"> </v>
      </c>
      <c r="I269" s="12">
        <f>IFERROR(IF(B269&gt;0, (H262-H269)/H262,0.007), 0)</f>
        <v>7.0000000000000001E-3</v>
      </c>
      <c r="J269" s="13" t="str">
        <f>IF(I269&lt;0, "Cut 200kcal", "")</f>
        <v/>
      </c>
      <c r="K269" s="13" t="str">
        <f>IF(AND(I269&lt;0.005, I269&gt;=0), "Cut 100kcal", "")</f>
        <v/>
      </c>
      <c r="L269" s="13" t="str">
        <f>IF(AND(I269&lt;0.006, I269&gt;=0.005), "Cut 50kcal", "")</f>
        <v/>
      </c>
      <c r="M269" s="13" t="str">
        <f>IF(AND(I269&lt;0.008, I269&gt;=0.006), "Remain Constant", "")</f>
        <v>Remain Constant</v>
      </c>
      <c r="N269" s="13" t="str">
        <f>IF(AND(I269&gt;=0.008,I269&lt;0.01), "Add 50kcal", "")</f>
        <v/>
      </c>
      <c r="O269" s="13" t="str">
        <f>IF(I269&gt;=0.01, "Add 100kcal", "")</f>
        <v/>
      </c>
      <c r="P269" s="20"/>
      <c r="Q269" s="5" t="str">
        <f>IF(P269&gt;0,Q262+P269,"")</f>
        <v/>
      </c>
    </row>
    <row r="270" spans="1:17">
      <c r="A270" s="7">
        <f t="shared" si="4"/>
        <v>42416</v>
      </c>
      <c r="B270" s="27"/>
      <c r="C270" s="8"/>
      <c r="D270" s="9"/>
      <c r="E270" s="8"/>
      <c r="F270" s="8"/>
      <c r="G270" s="8"/>
      <c r="H270" s="8"/>
      <c r="I270" s="9"/>
      <c r="J270" s="9"/>
      <c r="K270" s="9"/>
      <c r="L270" s="8"/>
      <c r="M270" s="9"/>
      <c r="N270" s="9"/>
      <c r="O270" s="9"/>
      <c r="P270" s="19"/>
      <c r="Q270" s="10"/>
    </row>
    <row r="271" spans="1:17">
      <c r="A271" s="7">
        <f t="shared" si="4"/>
        <v>42417</v>
      </c>
      <c r="B271" s="27"/>
      <c r="C271" s="8"/>
      <c r="D271" s="9"/>
      <c r="E271" s="8"/>
      <c r="F271" s="8"/>
      <c r="G271" s="8"/>
      <c r="H271" s="8"/>
      <c r="I271" s="9"/>
      <c r="J271" s="9"/>
      <c r="K271" s="9"/>
      <c r="L271" s="8"/>
      <c r="M271" s="9"/>
      <c r="N271" s="9"/>
      <c r="O271" s="9"/>
      <c r="P271" s="19"/>
      <c r="Q271" s="10"/>
    </row>
    <row r="272" spans="1:17">
      <c r="A272" s="7">
        <f t="shared" si="4"/>
        <v>42418</v>
      </c>
      <c r="B272" s="27"/>
      <c r="C272" s="8"/>
      <c r="D272" s="9"/>
      <c r="E272" s="8"/>
      <c r="F272" s="8"/>
      <c r="G272" s="8"/>
      <c r="H272" s="8"/>
      <c r="I272" s="9"/>
      <c r="J272" s="9"/>
      <c r="K272" s="9"/>
      <c r="L272" s="8"/>
      <c r="M272" s="9"/>
      <c r="N272" s="9"/>
      <c r="O272" s="9"/>
      <c r="P272" s="19"/>
      <c r="Q272" s="10"/>
    </row>
    <row r="273" spans="1:17">
      <c r="A273" s="7">
        <f t="shared" si="4"/>
        <v>42419</v>
      </c>
      <c r="B273" s="27"/>
      <c r="C273" s="8"/>
      <c r="D273" s="9"/>
      <c r="E273" s="8"/>
      <c r="F273" s="8"/>
      <c r="G273" s="8"/>
      <c r="H273" s="8"/>
      <c r="I273" s="9"/>
      <c r="J273" s="9"/>
      <c r="K273" s="9"/>
      <c r="L273" s="8"/>
      <c r="M273" s="9"/>
      <c r="N273" s="9"/>
      <c r="O273" s="9"/>
      <c r="P273" s="19"/>
      <c r="Q273" s="10"/>
    </row>
    <row r="274" spans="1:17">
      <c r="A274" s="7">
        <f t="shared" si="4"/>
        <v>42420</v>
      </c>
      <c r="B274" s="27"/>
      <c r="C274" s="8"/>
      <c r="D274" s="9"/>
      <c r="E274" s="8"/>
      <c r="F274" s="8"/>
      <c r="G274" s="8"/>
      <c r="H274" s="8"/>
      <c r="I274" s="9"/>
      <c r="J274" s="9"/>
      <c r="K274" s="9"/>
      <c r="L274" s="8"/>
      <c r="M274" s="9"/>
      <c r="N274" s="9"/>
      <c r="O274" s="9"/>
      <c r="P274" s="19"/>
      <c r="Q274" s="10"/>
    </row>
    <row r="275" spans="1:17">
      <c r="A275" s="7">
        <f t="shared" si="4"/>
        <v>42421</v>
      </c>
      <c r="B275" s="27"/>
      <c r="C275" s="8"/>
      <c r="D275" s="9"/>
      <c r="E275" s="8"/>
      <c r="F275" s="8"/>
      <c r="G275" s="8"/>
      <c r="H275" s="8"/>
      <c r="I275" s="9"/>
      <c r="J275" s="9"/>
      <c r="K275" s="9"/>
      <c r="L275" s="8"/>
      <c r="M275" s="9"/>
      <c r="N275" s="9"/>
      <c r="O275" s="9"/>
      <c r="P275" s="19"/>
      <c r="Q275" s="10"/>
    </row>
    <row r="276" spans="1:17">
      <c r="A276" s="7">
        <f t="shared" si="4"/>
        <v>42422</v>
      </c>
      <c r="B276" s="27"/>
      <c r="C276" s="27"/>
      <c r="D276" s="21"/>
      <c r="E276" s="27"/>
      <c r="F276" s="29">
        <f>IFERROR(IF(INPUTS!B277="Male", 86.01*LOG(C276-D276)-70.041*LOG(INPUTS!B$7)+30.3, 163.205*LOG('CUTTING TRACKER'!C276+'CUTTING TRACKER'!E276-'CUTTING TRACKER'!D276)-97.684*LOG(INPUTS!B$7)-104.912),0)</f>
        <v>0</v>
      </c>
      <c r="G276" s="29"/>
      <c r="H276" s="11" t="str">
        <f>IF(B276&gt;0, AVERAGE(B270:B276), " ")</f>
        <v xml:space="preserve"> </v>
      </c>
      <c r="I276" s="12">
        <f>IFERROR(IF(B276&gt;0, (H269-H276)/H269,0.007), 0)</f>
        <v>7.0000000000000001E-3</v>
      </c>
      <c r="J276" s="13" t="str">
        <f>IF(I276&lt;0, "Cut 200kcal", "")</f>
        <v/>
      </c>
      <c r="K276" s="13" t="str">
        <f>IF(AND(I276&lt;0.005, I276&gt;=0), "Cut 100kcal", "")</f>
        <v/>
      </c>
      <c r="L276" s="13" t="str">
        <f>IF(AND(I276&lt;0.006, I276&gt;=0.005), "Cut 50kcal", "")</f>
        <v/>
      </c>
      <c r="M276" s="13" t="str">
        <f>IF(AND(I276&lt;0.008, I276&gt;=0.006), "Remain Constant", "")</f>
        <v>Remain Constant</v>
      </c>
      <c r="N276" s="13" t="str">
        <f>IF(AND(I276&gt;=0.008,I276&lt;0.01), "Add 50kcal", "")</f>
        <v/>
      </c>
      <c r="O276" s="13" t="str">
        <f>IF(I276&gt;=0.01, "Add 100kcal", "")</f>
        <v/>
      </c>
      <c r="P276" s="20"/>
      <c r="Q276" s="5" t="str">
        <f>IF(P276&gt;0,Q269+P276,"")</f>
        <v/>
      </c>
    </row>
    <row r="277" spans="1:17">
      <c r="A277" s="7">
        <f t="shared" si="4"/>
        <v>42423</v>
      </c>
      <c r="B277" s="27"/>
      <c r="C277" s="8"/>
      <c r="D277" s="9"/>
      <c r="E277" s="8"/>
      <c r="F277" s="8"/>
      <c r="G277" s="8"/>
      <c r="H277" s="8"/>
      <c r="I277" s="9"/>
      <c r="J277" s="9"/>
      <c r="K277" s="9"/>
      <c r="L277" s="8"/>
      <c r="M277" s="9"/>
      <c r="N277" s="9"/>
      <c r="O277" s="9"/>
      <c r="P277" s="19"/>
      <c r="Q277" s="10"/>
    </row>
    <row r="278" spans="1:17">
      <c r="A278" s="7">
        <f t="shared" si="4"/>
        <v>42424</v>
      </c>
      <c r="B278" s="27"/>
      <c r="C278" s="8"/>
      <c r="D278" s="9"/>
      <c r="E278" s="8"/>
      <c r="F278" s="8"/>
      <c r="G278" s="8"/>
      <c r="H278" s="8"/>
      <c r="I278" s="9"/>
      <c r="J278" s="9"/>
      <c r="K278" s="9"/>
      <c r="L278" s="8"/>
      <c r="M278" s="9"/>
      <c r="N278" s="9"/>
      <c r="O278" s="9"/>
      <c r="P278" s="19"/>
      <c r="Q278" s="10"/>
    </row>
    <row r="279" spans="1:17">
      <c r="A279" s="7">
        <f t="shared" si="4"/>
        <v>42425</v>
      </c>
      <c r="B279" s="27"/>
      <c r="C279" s="8"/>
      <c r="D279" s="9"/>
      <c r="E279" s="8"/>
      <c r="F279" s="8"/>
      <c r="G279" s="8"/>
      <c r="H279" s="8"/>
      <c r="I279" s="9"/>
      <c r="J279" s="9"/>
      <c r="K279" s="9"/>
      <c r="L279" s="8"/>
      <c r="M279" s="9"/>
      <c r="N279" s="9"/>
      <c r="O279" s="9"/>
      <c r="P279" s="19"/>
      <c r="Q279" s="10"/>
    </row>
    <row r="280" spans="1:17">
      <c r="A280" s="7">
        <f t="shared" si="4"/>
        <v>42426</v>
      </c>
      <c r="B280" s="27"/>
      <c r="C280" s="8"/>
      <c r="D280" s="9"/>
      <c r="E280" s="8"/>
      <c r="F280" s="8"/>
      <c r="G280" s="8"/>
      <c r="H280" s="8"/>
      <c r="I280" s="9"/>
      <c r="J280" s="9"/>
      <c r="K280" s="9"/>
      <c r="L280" s="8"/>
      <c r="M280" s="9"/>
      <c r="N280" s="9"/>
      <c r="O280" s="9"/>
      <c r="P280" s="19"/>
      <c r="Q280" s="10"/>
    </row>
    <row r="281" spans="1:17">
      <c r="A281" s="7">
        <f t="shared" si="4"/>
        <v>42427</v>
      </c>
      <c r="B281" s="27"/>
      <c r="C281" s="8"/>
      <c r="D281" s="9"/>
      <c r="E281" s="8"/>
      <c r="F281" s="8"/>
      <c r="G281" s="8"/>
      <c r="H281" s="8"/>
      <c r="I281" s="9"/>
      <c r="J281" s="9"/>
      <c r="K281" s="9"/>
      <c r="L281" s="8"/>
      <c r="M281" s="9"/>
      <c r="N281" s="9"/>
      <c r="O281" s="9"/>
      <c r="P281" s="19"/>
      <c r="Q281" s="10"/>
    </row>
    <row r="282" spans="1:17">
      <c r="A282" s="7">
        <f t="shared" si="4"/>
        <v>42428</v>
      </c>
      <c r="B282" s="27"/>
      <c r="C282" s="8"/>
      <c r="D282" s="9"/>
      <c r="E282" s="8"/>
      <c r="F282" s="8"/>
      <c r="G282" s="8"/>
      <c r="H282" s="8"/>
      <c r="I282" s="9"/>
      <c r="J282" s="9"/>
      <c r="K282" s="9"/>
      <c r="L282" s="8"/>
      <c r="M282" s="9"/>
      <c r="N282" s="9"/>
      <c r="O282" s="9"/>
      <c r="P282" s="19"/>
      <c r="Q282" s="10"/>
    </row>
    <row r="283" spans="1:17">
      <c r="A283" s="7">
        <f t="shared" si="4"/>
        <v>42429</v>
      </c>
      <c r="B283" s="27"/>
      <c r="C283" s="27"/>
      <c r="D283" s="21"/>
      <c r="E283" s="27"/>
      <c r="F283" s="29">
        <f>IFERROR(IF(INPUTS!B284="Male", 86.01*LOG(C283-D283)-70.041*LOG(INPUTS!B$7)+30.3, 163.205*LOG('CUTTING TRACKER'!C283+'CUTTING TRACKER'!E283-'CUTTING TRACKER'!D283)-97.684*LOG(INPUTS!B$7)-104.912),0)</f>
        <v>0</v>
      </c>
      <c r="G283" s="29"/>
      <c r="H283" s="11" t="str">
        <f>IF(B283&gt;0, AVERAGE(B277:B283), " ")</f>
        <v xml:space="preserve"> </v>
      </c>
      <c r="I283" s="12">
        <f>IFERROR(IF(B283&gt;0, (H276-H283)/H276,0.007), 0)</f>
        <v>7.0000000000000001E-3</v>
      </c>
      <c r="J283" s="13" t="str">
        <f>IF(I283&lt;0, "Cut 200kcal", "")</f>
        <v/>
      </c>
      <c r="K283" s="13" t="str">
        <f>IF(AND(I283&lt;0.005, I283&gt;=0), "Cut 100kcal", "")</f>
        <v/>
      </c>
      <c r="L283" s="13" t="str">
        <f>IF(AND(I283&lt;0.006, I283&gt;=0.005), "Cut 50kcal", "")</f>
        <v/>
      </c>
      <c r="M283" s="13" t="str">
        <f>IF(AND(I283&lt;0.008, I283&gt;=0.006), "Remain Constant", "")</f>
        <v>Remain Constant</v>
      </c>
      <c r="N283" s="13" t="str">
        <f>IF(AND(I283&gt;=0.008,I283&lt;0.01), "Add 50kcal", "")</f>
        <v/>
      </c>
      <c r="O283" s="13" t="str">
        <f>IF(I283&gt;=0.01, "Add 100kcal", "")</f>
        <v/>
      </c>
      <c r="P283" s="20"/>
      <c r="Q283" s="5" t="str">
        <f>IF(P283&gt;0,Q276+P283,"")</f>
        <v/>
      </c>
    </row>
    <row r="284" spans="1:17">
      <c r="A284" s="7">
        <f t="shared" si="4"/>
        <v>42430</v>
      </c>
      <c r="B284" s="27"/>
      <c r="C284" s="8"/>
      <c r="D284" s="9"/>
      <c r="E284" s="8"/>
      <c r="F284" s="8"/>
      <c r="G284" s="8"/>
      <c r="H284" s="8"/>
      <c r="I284" s="9"/>
      <c r="J284" s="9"/>
      <c r="K284" s="9"/>
      <c r="L284" s="8"/>
      <c r="M284" s="9"/>
      <c r="N284" s="9"/>
      <c r="O284" s="9"/>
      <c r="P284" s="19"/>
      <c r="Q284" s="10"/>
    </row>
    <row r="285" spans="1:17">
      <c r="A285" s="7">
        <f t="shared" si="4"/>
        <v>42431</v>
      </c>
      <c r="B285" s="27"/>
      <c r="C285" s="8"/>
      <c r="D285" s="9"/>
      <c r="E285" s="8"/>
      <c r="F285" s="8"/>
      <c r="G285" s="8"/>
      <c r="H285" s="8"/>
      <c r="I285" s="9"/>
      <c r="J285" s="9"/>
      <c r="K285" s="9"/>
      <c r="L285" s="8"/>
      <c r="M285" s="9"/>
      <c r="N285" s="9"/>
      <c r="O285" s="9"/>
      <c r="P285" s="19"/>
      <c r="Q285" s="10"/>
    </row>
    <row r="286" spans="1:17">
      <c r="A286" s="7">
        <f t="shared" si="4"/>
        <v>42432</v>
      </c>
      <c r="B286" s="27"/>
      <c r="C286" s="8"/>
      <c r="D286" s="9"/>
      <c r="E286" s="8"/>
      <c r="F286" s="8"/>
      <c r="G286" s="8"/>
      <c r="H286" s="8"/>
      <c r="I286" s="9"/>
      <c r="J286" s="9"/>
      <c r="K286" s="9"/>
      <c r="L286" s="8"/>
      <c r="M286" s="9"/>
      <c r="N286" s="9"/>
      <c r="O286" s="9"/>
      <c r="P286" s="19"/>
      <c r="Q286" s="10"/>
    </row>
    <row r="287" spans="1:17">
      <c r="A287" s="7">
        <f t="shared" si="4"/>
        <v>42433</v>
      </c>
      <c r="B287" s="27"/>
      <c r="C287" s="8"/>
      <c r="D287" s="9"/>
      <c r="E287" s="8"/>
      <c r="F287" s="8"/>
      <c r="G287" s="8"/>
      <c r="H287" s="8"/>
      <c r="I287" s="9"/>
      <c r="J287" s="9"/>
      <c r="K287" s="9"/>
      <c r="L287" s="8"/>
      <c r="M287" s="9"/>
      <c r="N287" s="9"/>
      <c r="O287" s="9"/>
      <c r="P287" s="19"/>
      <c r="Q287" s="10"/>
    </row>
    <row r="288" spans="1:17">
      <c r="A288" s="7">
        <f t="shared" si="4"/>
        <v>42434</v>
      </c>
      <c r="B288" s="27"/>
      <c r="C288" s="8"/>
      <c r="D288" s="9"/>
      <c r="E288" s="8"/>
      <c r="F288" s="8"/>
      <c r="G288" s="8"/>
      <c r="H288" s="8"/>
      <c r="I288" s="9"/>
      <c r="J288" s="9"/>
      <c r="K288" s="9"/>
      <c r="L288" s="8"/>
      <c r="M288" s="9"/>
      <c r="N288" s="9"/>
      <c r="O288" s="9"/>
      <c r="P288" s="19"/>
      <c r="Q288" s="10"/>
    </row>
    <row r="289" spans="1:17">
      <c r="A289" s="7">
        <f t="shared" si="4"/>
        <v>42435</v>
      </c>
      <c r="B289" s="27"/>
      <c r="C289" s="8"/>
      <c r="D289" s="9"/>
      <c r="E289" s="8"/>
      <c r="F289" s="8"/>
      <c r="G289" s="8"/>
      <c r="H289" s="8"/>
      <c r="I289" s="9"/>
      <c r="J289" s="9"/>
      <c r="K289" s="9"/>
      <c r="L289" s="8"/>
      <c r="M289" s="9"/>
      <c r="N289" s="9"/>
      <c r="O289" s="9"/>
      <c r="P289" s="19"/>
      <c r="Q289" s="10"/>
    </row>
    <row r="290" spans="1:17">
      <c r="A290" s="7">
        <f t="shared" si="4"/>
        <v>42436</v>
      </c>
      <c r="B290" s="27"/>
      <c r="C290" s="27"/>
      <c r="D290" s="21"/>
      <c r="E290" s="27"/>
      <c r="F290" s="29">
        <f>IFERROR(IF(INPUTS!B291="Male", 86.01*LOG(C290-D290)-70.041*LOG(INPUTS!B$7)+30.3, 163.205*LOG('CUTTING TRACKER'!C290+'CUTTING TRACKER'!E290-'CUTTING TRACKER'!D290)-97.684*LOG(INPUTS!B$7)-104.912),0)</f>
        <v>0</v>
      </c>
      <c r="G290" s="29"/>
      <c r="H290" s="11" t="str">
        <f>IF(B290&gt;0, AVERAGE(B284:B290), " ")</f>
        <v xml:space="preserve"> </v>
      </c>
      <c r="I290" s="12">
        <f>IFERROR(IF(B290&gt;0, (H283-H290)/H283,0.007), 0)</f>
        <v>7.0000000000000001E-3</v>
      </c>
      <c r="J290" s="13" t="str">
        <f>IF(I290&lt;0, "Cut 200kcal", "")</f>
        <v/>
      </c>
      <c r="K290" s="13" t="str">
        <f>IF(AND(I290&lt;0.005, I290&gt;=0), "Cut 100kcal", "")</f>
        <v/>
      </c>
      <c r="L290" s="13" t="str">
        <f>IF(AND(I290&lt;0.006, I290&gt;=0.005), "Cut 50kcal", "")</f>
        <v/>
      </c>
      <c r="M290" s="13" t="str">
        <f>IF(AND(I290&lt;0.008, I290&gt;=0.006), "Remain Constant", "")</f>
        <v>Remain Constant</v>
      </c>
      <c r="N290" s="13" t="str">
        <f>IF(AND(I290&gt;=0.008,I290&lt;0.01), "Add 50kcal", "")</f>
        <v/>
      </c>
      <c r="O290" s="13" t="str">
        <f>IF(I290&gt;=0.01, "Add 100kcal", "")</f>
        <v/>
      </c>
      <c r="P290" s="20"/>
      <c r="Q290" s="5" t="str">
        <f>IF(P290&gt;0,Q283+P290,"")</f>
        <v/>
      </c>
    </row>
    <row r="291" spans="1:17">
      <c r="A291" s="7">
        <f t="shared" si="4"/>
        <v>42437</v>
      </c>
      <c r="B291" s="27"/>
      <c r="C291" s="8"/>
      <c r="D291" s="9"/>
      <c r="E291" s="8"/>
      <c r="F291" s="8"/>
      <c r="G291" s="8"/>
      <c r="H291" s="8"/>
      <c r="I291" s="9"/>
      <c r="J291" s="9"/>
      <c r="K291" s="9"/>
      <c r="L291" s="8"/>
      <c r="M291" s="9"/>
      <c r="N291" s="9"/>
      <c r="O291" s="9"/>
      <c r="P291" s="19"/>
      <c r="Q291" s="10"/>
    </row>
    <row r="292" spans="1:17">
      <c r="A292" s="7">
        <f t="shared" si="4"/>
        <v>42438</v>
      </c>
      <c r="B292" s="27"/>
      <c r="C292" s="8"/>
      <c r="D292" s="9"/>
      <c r="E292" s="8"/>
      <c r="F292" s="8"/>
      <c r="G292" s="8"/>
      <c r="H292" s="8"/>
      <c r="I292" s="9"/>
      <c r="J292" s="9"/>
      <c r="K292" s="9"/>
      <c r="L292" s="8"/>
      <c r="M292" s="9"/>
      <c r="N292" s="9"/>
      <c r="O292" s="9"/>
      <c r="P292" s="19"/>
      <c r="Q292" s="10"/>
    </row>
    <row r="293" spans="1:17">
      <c r="A293" s="7">
        <f t="shared" si="4"/>
        <v>42439</v>
      </c>
      <c r="B293" s="27"/>
      <c r="C293" s="8"/>
      <c r="D293" s="9"/>
      <c r="E293" s="8"/>
      <c r="F293" s="8"/>
      <c r="G293" s="8"/>
      <c r="H293" s="8"/>
      <c r="I293" s="9"/>
      <c r="J293" s="9"/>
      <c r="K293" s="9"/>
      <c r="L293" s="8"/>
      <c r="M293" s="9"/>
      <c r="N293" s="9"/>
      <c r="O293" s="9"/>
      <c r="P293" s="19"/>
      <c r="Q293" s="10"/>
    </row>
    <row r="294" spans="1:17">
      <c r="A294" s="7">
        <f t="shared" si="4"/>
        <v>42440</v>
      </c>
      <c r="B294" s="27"/>
      <c r="C294" s="8"/>
      <c r="D294" s="9"/>
      <c r="E294" s="8"/>
      <c r="F294" s="8"/>
      <c r="G294" s="8"/>
      <c r="H294" s="8"/>
      <c r="I294" s="9"/>
      <c r="J294" s="9"/>
      <c r="K294" s="9"/>
      <c r="L294" s="8"/>
      <c r="M294" s="9"/>
      <c r="N294" s="9"/>
      <c r="O294" s="9"/>
      <c r="P294" s="19"/>
      <c r="Q294" s="10"/>
    </row>
    <row r="295" spans="1:17">
      <c r="A295" s="7">
        <f t="shared" si="4"/>
        <v>42441</v>
      </c>
      <c r="B295" s="27"/>
      <c r="C295" s="8"/>
      <c r="D295" s="9"/>
      <c r="E295" s="8"/>
      <c r="F295" s="8"/>
      <c r="G295" s="8"/>
      <c r="H295" s="8"/>
      <c r="I295" s="9"/>
      <c r="J295" s="9"/>
      <c r="K295" s="9"/>
      <c r="L295" s="8"/>
      <c r="M295" s="9"/>
      <c r="N295" s="9"/>
      <c r="O295" s="9"/>
      <c r="P295" s="19"/>
      <c r="Q295" s="10"/>
    </row>
    <row r="296" spans="1:17">
      <c r="A296" s="7">
        <f t="shared" si="4"/>
        <v>42442</v>
      </c>
      <c r="B296" s="27"/>
      <c r="C296" s="8"/>
      <c r="D296" s="9"/>
      <c r="E296" s="8"/>
      <c r="F296" s="8"/>
      <c r="G296" s="8"/>
      <c r="H296" s="8"/>
      <c r="I296" s="9"/>
      <c r="J296" s="9"/>
      <c r="K296" s="9"/>
      <c r="L296" s="8"/>
      <c r="M296" s="9"/>
      <c r="N296" s="9"/>
      <c r="O296" s="9"/>
      <c r="P296" s="19"/>
      <c r="Q296" s="10"/>
    </row>
    <row r="297" spans="1:17">
      <c r="A297" s="7">
        <f t="shared" si="4"/>
        <v>42443</v>
      </c>
      <c r="B297" s="27"/>
      <c r="C297" s="27"/>
      <c r="D297" s="21"/>
      <c r="E297" s="27"/>
      <c r="F297" s="29">
        <f>IFERROR(IF(INPUTS!B298="Male", 86.01*LOG(C297-D297)-70.041*LOG(INPUTS!B$7)+30.3, 163.205*LOG('CUTTING TRACKER'!C297+'CUTTING TRACKER'!E297-'CUTTING TRACKER'!D297)-97.684*LOG(INPUTS!B$7)-104.912),0)</f>
        <v>0</v>
      </c>
      <c r="G297" s="29"/>
      <c r="H297" s="11" t="str">
        <f>IF(B297&gt;0, AVERAGE(B291:B297), " ")</f>
        <v xml:space="preserve"> </v>
      </c>
      <c r="I297" s="12">
        <f>IFERROR(IF(B297&gt;0, (H290-H297)/H290,0.007), 0)</f>
        <v>7.0000000000000001E-3</v>
      </c>
      <c r="J297" s="13" t="str">
        <f>IF(I297&lt;0, "Cut 200kcal", "")</f>
        <v/>
      </c>
      <c r="K297" s="13" t="str">
        <f>IF(AND(I297&lt;0.005, I297&gt;=0), "Cut 100kcal", "")</f>
        <v/>
      </c>
      <c r="L297" s="13" t="str">
        <f>IF(AND(I297&lt;0.006, I297&gt;=0.005), "Cut 50kcal", "")</f>
        <v/>
      </c>
      <c r="M297" s="13" t="str">
        <f>IF(AND(I297&lt;0.008, I297&gt;=0.006), "Remain Constant", "")</f>
        <v>Remain Constant</v>
      </c>
      <c r="N297" s="13" t="str">
        <f>IF(AND(I297&gt;=0.008,I297&lt;0.01), "Add 50kcal", "")</f>
        <v/>
      </c>
      <c r="O297" s="13" t="str">
        <f>IF(I297&gt;=0.01, "Add 100kcal", "")</f>
        <v/>
      </c>
      <c r="P297" s="20"/>
      <c r="Q297" s="5" t="str">
        <f>IF(P297&gt;0,Q290+P297,"")</f>
        <v/>
      </c>
    </row>
    <row r="298" spans="1:17">
      <c r="A298" s="7">
        <f t="shared" si="4"/>
        <v>42444</v>
      </c>
      <c r="B298" s="27"/>
      <c r="C298" s="8"/>
      <c r="D298" s="9"/>
      <c r="E298" s="8"/>
      <c r="F298" s="8"/>
      <c r="G298" s="8"/>
      <c r="H298" s="8"/>
      <c r="I298" s="9"/>
      <c r="J298" s="9"/>
      <c r="K298" s="9"/>
      <c r="L298" s="8"/>
      <c r="M298" s="9"/>
      <c r="N298" s="9"/>
      <c r="O298" s="9"/>
      <c r="P298" s="19"/>
      <c r="Q298" s="10"/>
    </row>
    <row r="299" spans="1:17">
      <c r="A299" s="7">
        <f t="shared" si="4"/>
        <v>42445</v>
      </c>
      <c r="B299" s="27"/>
      <c r="C299" s="8"/>
      <c r="D299" s="9"/>
      <c r="E299" s="8"/>
      <c r="F299" s="8"/>
      <c r="G299" s="8"/>
      <c r="H299" s="8"/>
      <c r="I299" s="9"/>
      <c r="J299" s="9"/>
      <c r="K299" s="9"/>
      <c r="L299" s="8"/>
      <c r="M299" s="9"/>
      <c r="N299" s="9"/>
      <c r="O299" s="9"/>
      <c r="P299" s="19"/>
      <c r="Q299" s="10"/>
    </row>
    <row r="300" spans="1:17">
      <c r="A300" s="7">
        <f t="shared" si="4"/>
        <v>42446</v>
      </c>
      <c r="B300" s="27"/>
      <c r="C300" s="8"/>
      <c r="D300" s="9"/>
      <c r="E300" s="8"/>
      <c r="F300" s="8"/>
      <c r="G300" s="8"/>
      <c r="H300" s="8"/>
      <c r="I300" s="9"/>
      <c r="J300" s="9"/>
      <c r="K300" s="9"/>
      <c r="L300" s="8"/>
      <c r="M300" s="9"/>
      <c r="N300" s="9"/>
      <c r="O300" s="9"/>
      <c r="P300" s="19"/>
      <c r="Q300" s="10"/>
    </row>
    <row r="301" spans="1:17">
      <c r="A301" s="7">
        <f t="shared" si="4"/>
        <v>42447</v>
      </c>
      <c r="B301" s="27"/>
      <c r="C301" s="8"/>
      <c r="D301" s="9"/>
      <c r="E301" s="8"/>
      <c r="F301" s="8"/>
      <c r="G301" s="8"/>
      <c r="H301" s="8"/>
      <c r="I301" s="9"/>
      <c r="J301" s="9"/>
      <c r="K301" s="9"/>
      <c r="L301" s="8"/>
      <c r="M301" s="9"/>
      <c r="N301" s="9"/>
      <c r="O301" s="9"/>
      <c r="P301" s="19"/>
      <c r="Q301" s="10"/>
    </row>
    <row r="302" spans="1:17">
      <c r="A302" s="7">
        <f t="shared" si="4"/>
        <v>42448</v>
      </c>
      <c r="B302" s="27"/>
      <c r="C302" s="8"/>
      <c r="D302" s="9"/>
      <c r="E302" s="8"/>
      <c r="F302" s="8"/>
      <c r="G302" s="8"/>
      <c r="H302" s="8"/>
      <c r="I302" s="9"/>
      <c r="J302" s="9"/>
      <c r="K302" s="9"/>
      <c r="L302" s="8"/>
      <c r="M302" s="9"/>
      <c r="N302" s="9"/>
      <c r="O302" s="9"/>
      <c r="P302" s="19"/>
      <c r="Q302" s="10"/>
    </row>
    <row r="303" spans="1:17">
      <c r="A303" s="7">
        <f t="shared" si="4"/>
        <v>42449</v>
      </c>
      <c r="B303" s="27"/>
      <c r="C303" s="8"/>
      <c r="D303" s="9"/>
      <c r="E303" s="8"/>
      <c r="F303" s="8"/>
      <c r="G303" s="8"/>
      <c r="H303" s="8"/>
      <c r="I303" s="9"/>
      <c r="J303" s="9"/>
      <c r="K303" s="9"/>
      <c r="L303" s="8"/>
      <c r="M303" s="9"/>
      <c r="N303" s="9"/>
      <c r="O303" s="9"/>
      <c r="P303" s="19"/>
      <c r="Q303" s="10"/>
    </row>
    <row r="304" spans="1:17">
      <c r="A304" s="7">
        <f t="shared" si="4"/>
        <v>42450</v>
      </c>
      <c r="B304" s="27"/>
      <c r="C304" s="27"/>
      <c r="D304" s="21"/>
      <c r="E304" s="27"/>
      <c r="F304" s="29">
        <f>IFERROR(IF(INPUTS!B305="Male", 86.01*LOG(C304-D304)-70.041*LOG(INPUTS!B$7)+30.3, 163.205*LOG('CUTTING TRACKER'!C304+'CUTTING TRACKER'!E304-'CUTTING TRACKER'!D304)-97.684*LOG(INPUTS!B$7)-104.912),0)</f>
        <v>0</v>
      </c>
      <c r="G304" s="29"/>
      <c r="H304" s="11" t="str">
        <f>IF(B304&gt;0, AVERAGE(B298:B304), " ")</f>
        <v xml:space="preserve"> </v>
      </c>
      <c r="I304" s="12">
        <f>IFERROR(IF(B304&gt;0, (H297-H304)/H297,0.007), 0)</f>
        <v>7.0000000000000001E-3</v>
      </c>
      <c r="J304" s="13" t="str">
        <f>IF(I304&lt;0, "Cut 200kcal", "")</f>
        <v/>
      </c>
      <c r="K304" s="13" t="str">
        <f>IF(AND(I304&lt;0.005, I304&gt;=0), "Cut 100kcal", "")</f>
        <v/>
      </c>
      <c r="L304" s="13" t="str">
        <f>IF(AND(I304&lt;0.006, I304&gt;=0.005), "Cut 50kcal", "")</f>
        <v/>
      </c>
      <c r="M304" s="13" t="str">
        <f>IF(AND(I304&lt;0.008, I304&gt;=0.006), "Remain Constant", "")</f>
        <v>Remain Constant</v>
      </c>
      <c r="N304" s="13" t="str">
        <f>IF(AND(I304&gt;=0.008,I304&lt;0.01), "Add 50kcal", "")</f>
        <v/>
      </c>
      <c r="O304" s="13" t="str">
        <f>IF(I304&gt;=0.01, "Add 100kcal", "")</f>
        <v/>
      </c>
      <c r="P304" s="20"/>
      <c r="Q304" s="5" t="str">
        <f>IF(P304&gt;0,Q297+P304,"")</f>
        <v/>
      </c>
    </row>
    <row r="305" spans="1:17">
      <c r="A305" s="7">
        <f t="shared" si="4"/>
        <v>42451</v>
      </c>
      <c r="B305" s="27"/>
      <c r="C305" s="8"/>
      <c r="D305" s="9"/>
      <c r="E305" s="8"/>
      <c r="F305" s="8"/>
      <c r="G305" s="8"/>
      <c r="H305" s="8"/>
      <c r="I305" s="9"/>
      <c r="J305" s="9"/>
      <c r="K305" s="9"/>
      <c r="L305" s="8"/>
      <c r="M305" s="9"/>
      <c r="N305" s="9"/>
      <c r="O305" s="9"/>
      <c r="P305" s="19"/>
      <c r="Q305" s="10"/>
    </row>
    <row r="306" spans="1:17">
      <c r="A306" s="7">
        <f t="shared" si="4"/>
        <v>42452</v>
      </c>
      <c r="B306" s="27"/>
      <c r="C306" s="8"/>
      <c r="D306" s="9"/>
      <c r="E306" s="8"/>
      <c r="F306" s="8"/>
      <c r="G306" s="8"/>
      <c r="H306" s="8"/>
      <c r="I306" s="9"/>
      <c r="J306" s="9"/>
      <c r="K306" s="9"/>
      <c r="L306" s="8"/>
      <c r="M306" s="9"/>
      <c r="N306" s="9"/>
      <c r="O306" s="9"/>
      <c r="P306" s="19"/>
      <c r="Q306" s="10"/>
    </row>
    <row r="307" spans="1:17">
      <c r="A307" s="7">
        <f t="shared" si="4"/>
        <v>42453</v>
      </c>
      <c r="B307" s="27"/>
      <c r="C307" s="8"/>
      <c r="D307" s="9"/>
      <c r="E307" s="8"/>
      <c r="F307" s="8"/>
      <c r="G307" s="8"/>
      <c r="H307" s="8"/>
      <c r="I307" s="9"/>
      <c r="J307" s="9"/>
      <c r="K307" s="9"/>
      <c r="L307" s="8"/>
      <c r="M307" s="9"/>
      <c r="N307" s="9"/>
      <c r="O307" s="9"/>
      <c r="P307" s="19"/>
      <c r="Q307" s="10"/>
    </row>
    <row r="308" spans="1:17">
      <c r="A308" s="7">
        <f t="shared" si="4"/>
        <v>42454</v>
      </c>
      <c r="B308" s="27"/>
      <c r="C308" s="8"/>
      <c r="D308" s="9"/>
      <c r="E308" s="8"/>
      <c r="F308" s="8"/>
      <c r="G308" s="8"/>
      <c r="H308" s="8"/>
      <c r="I308" s="9"/>
      <c r="J308" s="9"/>
      <c r="K308" s="9"/>
      <c r="L308" s="8"/>
      <c r="M308" s="9"/>
      <c r="N308" s="9"/>
      <c r="O308" s="9"/>
      <c r="P308" s="19"/>
      <c r="Q308" s="10"/>
    </row>
    <row r="309" spans="1:17">
      <c r="A309" s="7">
        <f t="shared" si="4"/>
        <v>42455</v>
      </c>
      <c r="B309" s="27"/>
      <c r="C309" s="8"/>
      <c r="D309" s="9"/>
      <c r="E309" s="8"/>
      <c r="F309" s="8"/>
      <c r="G309" s="8"/>
      <c r="H309" s="8"/>
      <c r="I309" s="9"/>
      <c r="J309" s="9"/>
      <c r="K309" s="9"/>
      <c r="L309" s="8"/>
      <c r="M309" s="9"/>
      <c r="N309" s="9"/>
      <c r="O309" s="9"/>
      <c r="P309" s="19"/>
      <c r="Q309" s="10"/>
    </row>
    <row r="310" spans="1:17">
      <c r="A310" s="7">
        <f t="shared" si="4"/>
        <v>42456</v>
      </c>
      <c r="B310" s="27"/>
      <c r="C310" s="8"/>
      <c r="D310" s="9"/>
      <c r="E310" s="8"/>
      <c r="F310" s="8"/>
      <c r="G310" s="8"/>
      <c r="H310" s="8"/>
      <c r="I310" s="9"/>
      <c r="J310" s="9"/>
      <c r="K310" s="9"/>
      <c r="L310" s="8"/>
      <c r="M310" s="9"/>
      <c r="N310" s="9"/>
      <c r="O310" s="9"/>
      <c r="P310" s="19"/>
      <c r="Q310" s="10"/>
    </row>
    <row r="311" spans="1:17">
      <c r="A311" s="7">
        <f t="shared" si="4"/>
        <v>42457</v>
      </c>
      <c r="B311" s="27"/>
      <c r="C311" s="27"/>
      <c r="D311" s="21"/>
      <c r="E311" s="27"/>
      <c r="F311" s="29">
        <f>IFERROR(IF(INPUTS!B312="Male", 86.01*LOG(C311-D311)-70.041*LOG(INPUTS!B$7)+30.3, 163.205*LOG('CUTTING TRACKER'!C311+'CUTTING TRACKER'!E311-'CUTTING TRACKER'!D311)-97.684*LOG(INPUTS!B$7)-104.912),0)</f>
        <v>0</v>
      </c>
      <c r="G311" s="29"/>
      <c r="H311" s="11" t="str">
        <f>IF(B311&gt;0, AVERAGE(B305:B311), " ")</f>
        <v xml:space="preserve"> </v>
      </c>
      <c r="I311" s="12">
        <f>IFERROR(IF(B311&gt;0, (H304-H311)/H304,0.007), 0)</f>
        <v>7.0000000000000001E-3</v>
      </c>
      <c r="J311" s="13" t="str">
        <f>IF(I311&lt;0, "Cut 200kcal", "")</f>
        <v/>
      </c>
      <c r="K311" s="13" t="str">
        <f>IF(AND(I311&lt;0.005, I311&gt;=0), "Cut 100kcal", "")</f>
        <v/>
      </c>
      <c r="L311" s="13" t="str">
        <f>IF(AND(I311&lt;0.006, I311&gt;=0.005), "Cut 50kcal", "")</f>
        <v/>
      </c>
      <c r="M311" s="13" t="str">
        <f>IF(AND(I311&lt;0.008, I311&gt;=0.006), "Remain Constant", "")</f>
        <v>Remain Constant</v>
      </c>
      <c r="N311" s="13" t="str">
        <f>IF(AND(I311&gt;=0.008,I311&lt;0.01), "Add 50kcal", "")</f>
        <v/>
      </c>
      <c r="O311" s="13" t="str">
        <f>IF(I311&gt;=0.01, "Add 100kcal", "")</f>
        <v/>
      </c>
      <c r="P311" s="20"/>
      <c r="Q311" s="5" t="str">
        <f>IF(P311&gt;0,Q304+P311,"")</f>
        <v/>
      </c>
    </row>
    <row r="312" spans="1:17">
      <c r="A312" s="7">
        <f t="shared" si="4"/>
        <v>42458</v>
      </c>
      <c r="B312" s="27"/>
      <c r="C312" s="8"/>
      <c r="D312" s="9"/>
      <c r="E312" s="8"/>
      <c r="F312" s="8"/>
      <c r="G312" s="8"/>
      <c r="H312" s="8"/>
      <c r="I312" s="9"/>
      <c r="J312" s="9"/>
      <c r="K312" s="9"/>
      <c r="L312" s="8"/>
      <c r="M312" s="9"/>
      <c r="N312" s="9"/>
      <c r="O312" s="9"/>
      <c r="P312" s="19"/>
      <c r="Q312" s="10"/>
    </row>
    <row r="313" spans="1:17">
      <c r="A313" s="7">
        <f t="shared" si="4"/>
        <v>42459</v>
      </c>
      <c r="B313" s="27"/>
      <c r="C313" s="8"/>
      <c r="D313" s="9"/>
      <c r="E313" s="8"/>
      <c r="F313" s="8"/>
      <c r="G313" s="8"/>
      <c r="H313" s="8"/>
      <c r="I313" s="9"/>
      <c r="J313" s="9"/>
      <c r="K313" s="9"/>
      <c r="L313" s="8"/>
      <c r="M313" s="9"/>
      <c r="N313" s="9"/>
      <c r="O313" s="9"/>
      <c r="P313" s="19"/>
      <c r="Q313" s="10"/>
    </row>
    <row r="314" spans="1:17">
      <c r="A314" s="7">
        <f t="shared" si="4"/>
        <v>42460</v>
      </c>
      <c r="B314" s="27"/>
      <c r="C314" s="8"/>
      <c r="D314" s="9"/>
      <c r="E314" s="8"/>
      <c r="F314" s="8"/>
      <c r="G314" s="8"/>
      <c r="H314" s="8"/>
      <c r="I314" s="9"/>
      <c r="J314" s="9"/>
      <c r="K314" s="9"/>
      <c r="L314" s="8"/>
      <c r="M314" s="9"/>
      <c r="N314" s="9"/>
      <c r="O314" s="9"/>
      <c r="P314" s="19"/>
      <c r="Q314" s="10"/>
    </row>
    <row r="315" spans="1:17">
      <c r="A315" s="7">
        <f t="shared" si="4"/>
        <v>42461</v>
      </c>
      <c r="B315" s="27"/>
      <c r="C315" s="8"/>
      <c r="D315" s="9"/>
      <c r="E315" s="8"/>
      <c r="F315" s="8"/>
      <c r="G315" s="8"/>
      <c r="H315" s="8"/>
      <c r="I315" s="9"/>
      <c r="J315" s="9"/>
      <c r="K315" s="9"/>
      <c r="L315" s="8"/>
      <c r="M315" s="9"/>
      <c r="N315" s="9"/>
      <c r="O315" s="9"/>
      <c r="P315" s="19"/>
      <c r="Q315" s="10"/>
    </row>
    <row r="316" spans="1:17">
      <c r="A316" s="7">
        <f t="shared" si="4"/>
        <v>42462</v>
      </c>
      <c r="B316" s="27"/>
      <c r="C316" s="8"/>
      <c r="D316" s="9"/>
      <c r="E316" s="8"/>
      <c r="F316" s="8"/>
      <c r="G316" s="8"/>
      <c r="H316" s="8"/>
      <c r="I316" s="9"/>
      <c r="J316" s="9"/>
      <c r="K316" s="9"/>
      <c r="L316" s="8"/>
      <c r="M316" s="9"/>
      <c r="N316" s="9"/>
      <c r="O316" s="9"/>
      <c r="P316" s="19"/>
      <c r="Q316" s="10"/>
    </row>
    <row r="317" spans="1:17">
      <c r="A317" s="7">
        <f t="shared" si="4"/>
        <v>42463</v>
      </c>
      <c r="B317" s="27"/>
      <c r="C317" s="8"/>
      <c r="D317" s="9"/>
      <c r="E317" s="8"/>
      <c r="F317" s="8"/>
      <c r="G317" s="8"/>
      <c r="H317" s="8"/>
      <c r="I317" s="9"/>
      <c r="J317" s="9"/>
      <c r="K317" s="9"/>
      <c r="L317" s="8"/>
      <c r="M317" s="9"/>
      <c r="N317" s="9"/>
      <c r="O317" s="9"/>
      <c r="P317" s="19"/>
      <c r="Q317" s="10"/>
    </row>
    <row r="318" spans="1:17">
      <c r="A318" s="7">
        <f t="shared" si="4"/>
        <v>42464</v>
      </c>
      <c r="B318" s="27"/>
      <c r="C318" s="27"/>
      <c r="D318" s="21"/>
      <c r="E318" s="27"/>
      <c r="F318" s="29">
        <f>IFERROR(IF(INPUTS!B319="Male", 86.01*LOG(C318-D318)-70.041*LOG(INPUTS!B$7)+30.3, 163.205*LOG('CUTTING TRACKER'!C318+'CUTTING TRACKER'!E318-'CUTTING TRACKER'!D318)-97.684*LOG(INPUTS!B$7)-104.912),0)</f>
        <v>0</v>
      </c>
      <c r="G318" s="29"/>
      <c r="H318" s="11" t="str">
        <f>IF(B318&gt;0, AVERAGE(B312:B318), " ")</f>
        <v xml:space="preserve"> </v>
      </c>
      <c r="I318" s="12">
        <f>IFERROR(IF(B318&gt;0, (H311-H318)/H311,0.007), 0)</f>
        <v>7.0000000000000001E-3</v>
      </c>
      <c r="J318" s="13" t="str">
        <f>IF(I318&lt;0, "Cut 200kcal", "")</f>
        <v/>
      </c>
      <c r="K318" s="13" t="str">
        <f>IF(AND(I318&lt;0.005, I318&gt;=0), "Cut 100kcal", "")</f>
        <v/>
      </c>
      <c r="L318" s="13" t="str">
        <f>IF(AND(I318&lt;0.006, I318&gt;=0.005), "Cut 50kcal", "")</f>
        <v/>
      </c>
      <c r="M318" s="13" t="str">
        <f>IF(AND(I318&lt;0.008, I318&gt;=0.006), "Remain Constant", "")</f>
        <v>Remain Constant</v>
      </c>
      <c r="N318" s="13" t="str">
        <f>IF(AND(I318&gt;=0.008,I318&lt;0.01), "Add 50kcal", "")</f>
        <v/>
      </c>
      <c r="O318" s="13" t="str">
        <f>IF(I318&gt;=0.01, "Add 100kcal", "")</f>
        <v/>
      </c>
      <c r="P318" s="20"/>
      <c r="Q318" s="5" t="str">
        <f>IF(P318&gt;0,Q311+P318,"")</f>
        <v/>
      </c>
    </row>
    <row r="319" spans="1:17">
      <c r="A319" s="7">
        <f t="shared" si="4"/>
        <v>42465</v>
      </c>
      <c r="B319" s="27"/>
      <c r="C319" s="8"/>
      <c r="D319" s="9"/>
      <c r="E319" s="8"/>
      <c r="F319" s="8"/>
      <c r="G319" s="8"/>
      <c r="H319" s="8"/>
      <c r="I319" s="9"/>
      <c r="J319" s="9"/>
      <c r="K319" s="9"/>
      <c r="L319" s="8"/>
      <c r="M319" s="9"/>
      <c r="N319" s="9"/>
      <c r="O319" s="9"/>
      <c r="P319" s="19"/>
      <c r="Q319" s="10"/>
    </row>
    <row r="320" spans="1:17">
      <c r="A320" s="7">
        <f t="shared" si="4"/>
        <v>42466</v>
      </c>
      <c r="B320" s="27"/>
      <c r="C320" s="8"/>
      <c r="D320" s="9"/>
      <c r="E320" s="8"/>
      <c r="F320" s="8"/>
      <c r="G320" s="8"/>
      <c r="H320" s="8"/>
      <c r="I320" s="9"/>
      <c r="J320" s="9"/>
      <c r="K320" s="9"/>
      <c r="L320" s="8"/>
      <c r="M320" s="9"/>
      <c r="N320" s="9"/>
      <c r="O320" s="9"/>
      <c r="P320" s="19"/>
      <c r="Q320" s="10"/>
    </row>
    <row r="321" spans="1:17">
      <c r="A321" s="7">
        <f t="shared" si="4"/>
        <v>42467</v>
      </c>
      <c r="B321" s="27"/>
      <c r="C321" s="8"/>
      <c r="D321" s="9"/>
      <c r="E321" s="8"/>
      <c r="F321" s="8"/>
      <c r="G321" s="8"/>
      <c r="H321" s="8"/>
      <c r="I321" s="9"/>
      <c r="J321" s="9"/>
      <c r="K321" s="9"/>
      <c r="L321" s="8"/>
      <c r="M321" s="9"/>
      <c r="N321" s="9"/>
      <c r="O321" s="9"/>
      <c r="P321" s="19"/>
      <c r="Q321" s="10"/>
    </row>
    <row r="322" spans="1:17">
      <c r="A322" s="7">
        <f t="shared" si="4"/>
        <v>42468</v>
      </c>
      <c r="B322" s="27"/>
      <c r="C322" s="8"/>
      <c r="D322" s="9"/>
      <c r="E322" s="8"/>
      <c r="F322" s="8"/>
      <c r="G322" s="8"/>
      <c r="H322" s="8"/>
      <c r="I322" s="9"/>
      <c r="J322" s="9"/>
      <c r="K322" s="9"/>
      <c r="L322" s="8"/>
      <c r="M322" s="9"/>
      <c r="N322" s="9"/>
      <c r="O322" s="9"/>
      <c r="P322" s="19"/>
      <c r="Q322" s="10"/>
    </row>
    <row r="323" spans="1:17">
      <c r="A323" s="7">
        <f t="shared" si="4"/>
        <v>42469</v>
      </c>
      <c r="B323" s="27"/>
      <c r="C323" s="8"/>
      <c r="D323" s="9"/>
      <c r="E323" s="8"/>
      <c r="F323" s="8"/>
      <c r="G323" s="8"/>
      <c r="H323" s="8"/>
      <c r="I323" s="9"/>
      <c r="J323" s="9"/>
      <c r="K323" s="9"/>
      <c r="L323" s="8"/>
      <c r="M323" s="9"/>
      <c r="N323" s="9"/>
      <c r="O323" s="9"/>
      <c r="P323" s="19"/>
      <c r="Q323" s="10"/>
    </row>
    <row r="324" spans="1:17">
      <c r="A324" s="7">
        <f t="shared" si="4"/>
        <v>42470</v>
      </c>
      <c r="B324" s="27"/>
      <c r="C324" s="8"/>
      <c r="D324" s="9"/>
      <c r="E324" s="8"/>
      <c r="F324" s="8"/>
      <c r="G324" s="8"/>
      <c r="H324" s="8"/>
      <c r="I324" s="9"/>
      <c r="J324" s="9"/>
      <c r="K324" s="9"/>
      <c r="L324" s="8"/>
      <c r="M324" s="9"/>
      <c r="N324" s="9"/>
      <c r="O324" s="9"/>
      <c r="P324" s="19"/>
      <c r="Q324" s="10"/>
    </row>
    <row r="325" spans="1:17">
      <c r="A325" s="7">
        <f t="shared" ref="A325:A367" si="5">A324+1</f>
        <v>42471</v>
      </c>
      <c r="B325" s="27"/>
      <c r="C325" s="27"/>
      <c r="D325" s="21"/>
      <c r="E325" s="27"/>
      <c r="F325" s="29">
        <f>IFERROR(IF(INPUTS!B326="Male", 86.01*LOG(C325-D325)-70.041*LOG(INPUTS!B$7)+30.3, 163.205*LOG('CUTTING TRACKER'!C325+'CUTTING TRACKER'!E325-'CUTTING TRACKER'!D325)-97.684*LOG(INPUTS!B$7)-104.912),0)</f>
        <v>0</v>
      </c>
      <c r="G325" s="29"/>
      <c r="H325" s="11" t="str">
        <f>IF(B325&gt;0, AVERAGE(B319:B325), " ")</f>
        <v xml:space="preserve"> </v>
      </c>
      <c r="I325" s="12">
        <f>IFERROR(IF(B325&gt;0, (H318-H325)/H318,0.007), 0)</f>
        <v>7.0000000000000001E-3</v>
      </c>
      <c r="J325" s="13" t="str">
        <f>IF(I325&lt;0, "Cut 200kcal", "")</f>
        <v/>
      </c>
      <c r="K325" s="13" t="str">
        <f>IF(AND(I325&lt;0.005, I325&gt;=0), "Cut 100kcal", "")</f>
        <v/>
      </c>
      <c r="L325" s="13" t="str">
        <f>IF(AND(I325&lt;0.006, I325&gt;=0.005), "Cut 50kcal", "")</f>
        <v/>
      </c>
      <c r="M325" s="13" t="str">
        <f>IF(AND(I325&lt;0.008, I325&gt;=0.006), "Remain Constant", "")</f>
        <v>Remain Constant</v>
      </c>
      <c r="N325" s="13" t="str">
        <f>IF(AND(I325&gt;=0.008,I325&lt;0.01), "Add 50kcal", "")</f>
        <v/>
      </c>
      <c r="O325" s="13" t="str">
        <f>IF(I325&gt;=0.01, "Add 100kcal", "")</f>
        <v/>
      </c>
      <c r="P325" s="20"/>
      <c r="Q325" s="5" t="str">
        <f>IF(P325&gt;0,Q318+P325,"")</f>
        <v/>
      </c>
    </row>
    <row r="326" spans="1:17">
      <c r="A326" s="7">
        <f t="shared" si="5"/>
        <v>42472</v>
      </c>
      <c r="B326" s="27"/>
      <c r="C326" s="8"/>
      <c r="D326" s="9"/>
      <c r="E326" s="8"/>
      <c r="F326" s="8"/>
      <c r="G326" s="8"/>
      <c r="H326" s="8"/>
      <c r="I326" s="9"/>
      <c r="J326" s="9"/>
      <c r="K326" s="9"/>
      <c r="L326" s="8"/>
      <c r="M326" s="9"/>
      <c r="N326" s="9"/>
      <c r="O326" s="9"/>
      <c r="P326" s="19"/>
      <c r="Q326" s="10"/>
    </row>
    <row r="327" spans="1:17">
      <c r="A327" s="7">
        <f t="shared" si="5"/>
        <v>42473</v>
      </c>
      <c r="B327" s="27"/>
      <c r="C327" s="8"/>
      <c r="D327" s="9"/>
      <c r="E327" s="8"/>
      <c r="F327" s="8"/>
      <c r="G327" s="8"/>
      <c r="H327" s="8"/>
      <c r="I327" s="9"/>
      <c r="J327" s="9"/>
      <c r="K327" s="9"/>
      <c r="L327" s="8"/>
      <c r="M327" s="9"/>
      <c r="N327" s="9"/>
      <c r="O327" s="9"/>
      <c r="P327" s="19"/>
      <c r="Q327" s="10"/>
    </row>
    <row r="328" spans="1:17">
      <c r="A328" s="7">
        <f t="shared" si="5"/>
        <v>42474</v>
      </c>
      <c r="B328" s="27"/>
      <c r="C328" s="8"/>
      <c r="D328" s="9"/>
      <c r="E328" s="8"/>
      <c r="F328" s="8"/>
      <c r="G328" s="8"/>
      <c r="H328" s="8"/>
      <c r="I328" s="9"/>
      <c r="J328" s="9"/>
      <c r="K328" s="9"/>
      <c r="L328" s="8"/>
      <c r="M328" s="9"/>
      <c r="N328" s="9"/>
      <c r="O328" s="9"/>
      <c r="P328" s="19"/>
      <c r="Q328" s="10"/>
    </row>
    <row r="329" spans="1:17">
      <c r="A329" s="7">
        <f t="shared" si="5"/>
        <v>42475</v>
      </c>
      <c r="B329" s="27"/>
      <c r="C329" s="8"/>
      <c r="D329" s="9"/>
      <c r="E329" s="8"/>
      <c r="F329" s="8"/>
      <c r="G329" s="8"/>
      <c r="H329" s="8"/>
      <c r="I329" s="9"/>
      <c r="J329" s="9"/>
      <c r="K329" s="9"/>
      <c r="L329" s="8"/>
      <c r="M329" s="9"/>
      <c r="N329" s="9"/>
      <c r="O329" s="9"/>
      <c r="P329" s="19"/>
      <c r="Q329" s="10"/>
    </row>
    <row r="330" spans="1:17">
      <c r="A330" s="7">
        <f t="shared" si="5"/>
        <v>42476</v>
      </c>
      <c r="B330" s="27"/>
      <c r="C330" s="8"/>
      <c r="D330" s="9"/>
      <c r="E330" s="8"/>
      <c r="F330" s="8"/>
      <c r="G330" s="8"/>
      <c r="H330" s="8"/>
      <c r="I330" s="9"/>
      <c r="J330" s="9"/>
      <c r="K330" s="9"/>
      <c r="L330" s="8"/>
      <c r="M330" s="9"/>
      <c r="N330" s="9"/>
      <c r="O330" s="9"/>
      <c r="P330" s="19"/>
      <c r="Q330" s="10"/>
    </row>
    <row r="331" spans="1:17">
      <c r="A331" s="7">
        <f t="shared" si="5"/>
        <v>42477</v>
      </c>
      <c r="B331" s="27"/>
      <c r="C331" s="8"/>
      <c r="D331" s="9"/>
      <c r="E331" s="8"/>
      <c r="F331" s="8"/>
      <c r="G331" s="8"/>
      <c r="H331" s="8"/>
      <c r="I331" s="9"/>
      <c r="J331" s="9"/>
      <c r="K331" s="9"/>
      <c r="L331" s="8"/>
      <c r="M331" s="9"/>
      <c r="N331" s="9"/>
      <c r="O331" s="9"/>
      <c r="P331" s="19"/>
      <c r="Q331" s="10"/>
    </row>
    <row r="332" spans="1:17">
      <c r="A332" s="7">
        <f t="shared" si="5"/>
        <v>42478</v>
      </c>
      <c r="B332" s="27"/>
      <c r="C332" s="27"/>
      <c r="D332" s="21"/>
      <c r="E332" s="27"/>
      <c r="F332" s="29">
        <f>IFERROR(IF(INPUTS!B333="Male", 86.01*LOG(C332-D332)-70.041*LOG(INPUTS!B$7)+30.3, 163.205*LOG('CUTTING TRACKER'!C332+'CUTTING TRACKER'!E332-'CUTTING TRACKER'!D332)-97.684*LOG(INPUTS!B$7)-104.912),0)</f>
        <v>0</v>
      </c>
      <c r="G332" s="29"/>
      <c r="H332" s="11" t="str">
        <f>IF(B332&gt;0, AVERAGE(B326:B332), " ")</f>
        <v xml:space="preserve"> </v>
      </c>
      <c r="I332" s="12">
        <f>IFERROR(IF(B332&gt;0, (H325-H332)/H325,0.007), 0)</f>
        <v>7.0000000000000001E-3</v>
      </c>
      <c r="J332" s="13" t="str">
        <f>IF(I332&lt;0, "Cut 200kcal", "")</f>
        <v/>
      </c>
      <c r="K332" s="13" t="str">
        <f>IF(AND(I332&lt;0.005, I332&gt;=0), "Cut 100kcal", "")</f>
        <v/>
      </c>
      <c r="L332" s="13" t="str">
        <f>IF(AND(I332&lt;0.006, I332&gt;=0.005), "Cut 50kcal", "")</f>
        <v/>
      </c>
      <c r="M332" s="13" t="str">
        <f>IF(AND(I332&lt;0.008, I332&gt;=0.006), "Remain Constant", "")</f>
        <v>Remain Constant</v>
      </c>
      <c r="N332" s="13" t="str">
        <f>IF(AND(I332&gt;=0.008,I332&lt;0.01), "Add 50kcal", "")</f>
        <v/>
      </c>
      <c r="O332" s="13" t="str">
        <f>IF(I332&gt;=0.01, "Add 100kcal", "")</f>
        <v/>
      </c>
      <c r="P332" s="20"/>
      <c r="Q332" s="5" t="str">
        <f>IF(P332&gt;0,Q325+P332,"")</f>
        <v/>
      </c>
    </row>
    <row r="333" spans="1:17">
      <c r="A333" s="7">
        <f t="shared" si="5"/>
        <v>42479</v>
      </c>
      <c r="B333" s="27"/>
      <c r="C333" s="8"/>
      <c r="D333" s="9"/>
      <c r="E333" s="8"/>
      <c r="F333" s="8"/>
      <c r="G333" s="8"/>
      <c r="H333" s="8"/>
      <c r="I333" s="9"/>
      <c r="J333" s="9"/>
      <c r="K333" s="9"/>
      <c r="L333" s="8"/>
      <c r="M333" s="9"/>
      <c r="N333" s="9"/>
      <c r="O333" s="9"/>
      <c r="P333" s="19"/>
      <c r="Q333" s="10"/>
    </row>
    <row r="334" spans="1:17">
      <c r="A334" s="7">
        <f t="shared" si="5"/>
        <v>42480</v>
      </c>
      <c r="B334" s="27"/>
      <c r="C334" s="8"/>
      <c r="D334" s="9"/>
      <c r="E334" s="8"/>
      <c r="F334" s="8"/>
      <c r="G334" s="8"/>
      <c r="H334" s="8"/>
      <c r="I334" s="9"/>
      <c r="J334" s="9"/>
      <c r="K334" s="9"/>
      <c r="L334" s="8"/>
      <c r="M334" s="9"/>
      <c r="N334" s="9"/>
      <c r="O334" s="9"/>
      <c r="P334" s="19"/>
      <c r="Q334" s="10"/>
    </row>
    <row r="335" spans="1:17">
      <c r="A335" s="7">
        <f t="shared" si="5"/>
        <v>42481</v>
      </c>
      <c r="B335" s="27"/>
      <c r="C335" s="8"/>
      <c r="D335" s="9"/>
      <c r="E335" s="8"/>
      <c r="F335" s="8"/>
      <c r="G335" s="8"/>
      <c r="H335" s="8"/>
      <c r="I335" s="9"/>
      <c r="J335" s="9"/>
      <c r="K335" s="9"/>
      <c r="L335" s="8"/>
      <c r="M335" s="9"/>
      <c r="N335" s="9"/>
      <c r="O335" s="9"/>
      <c r="P335" s="19"/>
      <c r="Q335" s="10"/>
    </row>
    <row r="336" spans="1:17">
      <c r="A336" s="7">
        <f t="shared" si="5"/>
        <v>42482</v>
      </c>
      <c r="B336" s="27"/>
      <c r="C336" s="8"/>
      <c r="D336" s="9"/>
      <c r="E336" s="8"/>
      <c r="F336" s="8"/>
      <c r="G336" s="8"/>
      <c r="H336" s="8"/>
      <c r="I336" s="9"/>
      <c r="J336" s="9"/>
      <c r="K336" s="9"/>
      <c r="L336" s="8"/>
      <c r="M336" s="9"/>
      <c r="N336" s="9"/>
      <c r="O336" s="9"/>
      <c r="P336" s="19"/>
      <c r="Q336" s="10"/>
    </row>
    <row r="337" spans="1:17">
      <c r="A337" s="7">
        <f t="shared" si="5"/>
        <v>42483</v>
      </c>
      <c r="B337" s="27"/>
      <c r="C337" s="8"/>
      <c r="D337" s="9"/>
      <c r="E337" s="8"/>
      <c r="F337" s="8"/>
      <c r="G337" s="8"/>
      <c r="H337" s="8"/>
      <c r="I337" s="9"/>
      <c r="J337" s="9"/>
      <c r="K337" s="9"/>
      <c r="L337" s="8"/>
      <c r="M337" s="9"/>
      <c r="N337" s="9"/>
      <c r="O337" s="9"/>
      <c r="P337" s="19"/>
      <c r="Q337" s="10"/>
    </row>
    <row r="338" spans="1:17">
      <c r="A338" s="7">
        <f t="shared" si="5"/>
        <v>42484</v>
      </c>
      <c r="B338" s="27"/>
      <c r="C338" s="8"/>
      <c r="D338" s="9"/>
      <c r="E338" s="8"/>
      <c r="F338" s="8"/>
      <c r="G338" s="8"/>
      <c r="H338" s="8"/>
      <c r="I338" s="9"/>
      <c r="J338" s="9"/>
      <c r="K338" s="9"/>
      <c r="L338" s="8"/>
      <c r="M338" s="9"/>
      <c r="N338" s="9"/>
      <c r="O338" s="9"/>
      <c r="P338" s="19"/>
      <c r="Q338" s="10"/>
    </row>
    <row r="339" spans="1:17">
      <c r="A339" s="7">
        <f t="shared" si="5"/>
        <v>42485</v>
      </c>
      <c r="B339" s="27"/>
      <c r="C339" s="27"/>
      <c r="D339" s="21"/>
      <c r="E339" s="27"/>
      <c r="F339" s="29">
        <f>IFERROR(IF(INPUTS!B340="Male", 86.01*LOG(C339-D339)-70.041*LOG(INPUTS!B$7)+30.3, 163.205*LOG('CUTTING TRACKER'!C339+'CUTTING TRACKER'!E339-'CUTTING TRACKER'!D339)-97.684*LOG(INPUTS!B$7)-104.912),0)</f>
        <v>0</v>
      </c>
      <c r="G339" s="29"/>
      <c r="H339" s="11" t="str">
        <f>IF(B339&gt;0, AVERAGE(B333:B339), " ")</f>
        <v xml:space="preserve"> </v>
      </c>
      <c r="I339" s="12">
        <f>IFERROR(IF(B339&gt;0, (H332-H339)/H332,0.007), 0)</f>
        <v>7.0000000000000001E-3</v>
      </c>
      <c r="J339" s="13" t="str">
        <f>IF(I339&lt;0, "Cut 200kcal", "")</f>
        <v/>
      </c>
      <c r="K339" s="13" t="str">
        <f>IF(AND(I339&lt;0.005, I339&gt;=0), "Cut 100kcal", "")</f>
        <v/>
      </c>
      <c r="L339" s="13" t="str">
        <f>IF(AND(I339&lt;0.006, I339&gt;=0.005), "Cut 50kcal", "")</f>
        <v/>
      </c>
      <c r="M339" s="13" t="str">
        <f>IF(AND(I339&lt;0.008, I339&gt;=0.006), "Remain Constant", "")</f>
        <v>Remain Constant</v>
      </c>
      <c r="N339" s="13" t="str">
        <f>IF(AND(I339&gt;=0.008,I339&lt;0.01), "Add 50kcal", "")</f>
        <v/>
      </c>
      <c r="O339" s="13" t="str">
        <f>IF(I339&gt;=0.01, "Add 100kcal", "")</f>
        <v/>
      </c>
      <c r="P339" s="20"/>
      <c r="Q339" s="5" t="str">
        <f>IF(P339&gt;0,Q332+P339,"")</f>
        <v/>
      </c>
    </row>
    <row r="340" spans="1:17">
      <c r="A340" s="7">
        <f t="shared" si="5"/>
        <v>42486</v>
      </c>
      <c r="B340" s="27"/>
      <c r="C340" s="8"/>
      <c r="D340" s="9"/>
      <c r="E340" s="8"/>
      <c r="F340" s="8"/>
      <c r="G340" s="8"/>
      <c r="H340" s="8"/>
      <c r="I340" s="9"/>
      <c r="J340" s="9"/>
      <c r="K340" s="9"/>
      <c r="L340" s="8"/>
      <c r="M340" s="9"/>
      <c r="N340" s="9"/>
      <c r="O340" s="9"/>
      <c r="P340" s="19"/>
      <c r="Q340" s="10"/>
    </row>
    <row r="341" spans="1:17">
      <c r="A341" s="7">
        <f t="shared" si="5"/>
        <v>42487</v>
      </c>
      <c r="B341" s="27"/>
      <c r="C341" s="8"/>
      <c r="D341" s="9"/>
      <c r="E341" s="8"/>
      <c r="F341" s="8"/>
      <c r="G341" s="8"/>
      <c r="H341" s="8"/>
      <c r="I341" s="9"/>
      <c r="J341" s="9"/>
      <c r="K341" s="9"/>
      <c r="L341" s="8"/>
      <c r="M341" s="9"/>
      <c r="N341" s="9"/>
      <c r="O341" s="9"/>
      <c r="P341" s="19"/>
      <c r="Q341" s="10"/>
    </row>
    <row r="342" spans="1:17">
      <c r="A342" s="7">
        <f t="shared" si="5"/>
        <v>42488</v>
      </c>
      <c r="B342" s="27"/>
      <c r="C342" s="8"/>
      <c r="D342" s="9"/>
      <c r="E342" s="8"/>
      <c r="F342" s="8"/>
      <c r="G342" s="8"/>
      <c r="H342" s="8"/>
      <c r="I342" s="9"/>
      <c r="J342" s="9"/>
      <c r="K342" s="9"/>
      <c r="L342" s="8"/>
      <c r="M342" s="9"/>
      <c r="N342" s="9"/>
      <c r="O342" s="9"/>
      <c r="P342" s="19"/>
      <c r="Q342" s="10"/>
    </row>
    <row r="343" spans="1:17">
      <c r="A343" s="7">
        <f t="shared" si="5"/>
        <v>42489</v>
      </c>
      <c r="B343" s="27"/>
      <c r="C343" s="8"/>
      <c r="D343" s="9"/>
      <c r="E343" s="8"/>
      <c r="F343" s="8"/>
      <c r="G343" s="8"/>
      <c r="H343" s="8"/>
      <c r="I343" s="9"/>
      <c r="J343" s="9"/>
      <c r="K343" s="9"/>
      <c r="L343" s="8"/>
      <c r="M343" s="9"/>
      <c r="N343" s="9"/>
      <c r="O343" s="9"/>
      <c r="P343" s="19"/>
      <c r="Q343" s="10"/>
    </row>
    <row r="344" spans="1:17">
      <c r="A344" s="7">
        <f t="shared" si="5"/>
        <v>42490</v>
      </c>
      <c r="B344" s="27"/>
      <c r="C344" s="8"/>
      <c r="D344" s="9"/>
      <c r="E344" s="8"/>
      <c r="F344" s="8"/>
      <c r="G344" s="8"/>
      <c r="H344" s="8"/>
      <c r="I344" s="9"/>
      <c r="J344" s="9"/>
      <c r="K344" s="9"/>
      <c r="L344" s="8"/>
      <c r="M344" s="9"/>
      <c r="N344" s="9"/>
      <c r="O344" s="9"/>
      <c r="P344" s="19"/>
      <c r="Q344" s="10"/>
    </row>
    <row r="345" spans="1:17">
      <c r="A345" s="7">
        <f t="shared" si="5"/>
        <v>42491</v>
      </c>
      <c r="B345" s="27"/>
      <c r="C345" s="8"/>
      <c r="D345" s="9"/>
      <c r="E345" s="8"/>
      <c r="F345" s="8"/>
      <c r="G345" s="8"/>
      <c r="H345" s="8"/>
      <c r="I345" s="9"/>
      <c r="J345" s="9"/>
      <c r="K345" s="9"/>
      <c r="L345" s="8"/>
      <c r="M345" s="9"/>
      <c r="N345" s="9"/>
      <c r="O345" s="9"/>
      <c r="P345" s="19"/>
      <c r="Q345" s="10"/>
    </row>
    <row r="346" spans="1:17">
      <c r="A346" s="7">
        <f t="shared" si="5"/>
        <v>42492</v>
      </c>
      <c r="B346" s="27"/>
      <c r="C346" s="27"/>
      <c r="D346" s="21"/>
      <c r="E346" s="27"/>
      <c r="F346" s="29">
        <f>IFERROR(IF(INPUTS!B347="Male", 86.01*LOG(C346-D346)-70.041*LOG(INPUTS!B$7)+30.3, 163.205*LOG('CUTTING TRACKER'!C346+'CUTTING TRACKER'!E346-'CUTTING TRACKER'!D346)-97.684*LOG(INPUTS!B$7)-104.912),0)</f>
        <v>0</v>
      </c>
      <c r="G346" s="29"/>
      <c r="H346" s="11" t="str">
        <f>IF(B346&gt;0, AVERAGE(B340:B346), " ")</f>
        <v xml:space="preserve"> </v>
      </c>
      <c r="I346" s="12">
        <f>IFERROR(IF(B346&gt;0, (H339-H346)/H339,0.007), 0)</f>
        <v>7.0000000000000001E-3</v>
      </c>
      <c r="J346" s="13" t="str">
        <f>IF(I346&lt;0, "Cut 200kcal", "")</f>
        <v/>
      </c>
      <c r="K346" s="13" t="str">
        <f>IF(AND(I346&lt;0.005, I346&gt;=0), "Cut 100kcal", "")</f>
        <v/>
      </c>
      <c r="L346" s="13" t="str">
        <f>IF(AND(I346&lt;0.006, I346&gt;=0.005), "Cut 50kcal", "")</f>
        <v/>
      </c>
      <c r="M346" s="13" t="str">
        <f>IF(AND(I346&lt;0.008, I346&gt;=0.006), "Remain Constant", "")</f>
        <v>Remain Constant</v>
      </c>
      <c r="N346" s="13" t="str">
        <f>IF(AND(I346&gt;=0.008,I346&lt;0.01), "Add 50kcal", "")</f>
        <v/>
      </c>
      <c r="O346" s="13" t="str">
        <f>IF(I346&gt;=0.01, "Add 100kcal", "")</f>
        <v/>
      </c>
      <c r="P346" s="20"/>
      <c r="Q346" s="5" t="str">
        <f>IF(P346&gt;0,Q339+P346,"")</f>
        <v/>
      </c>
    </row>
    <row r="347" spans="1:17">
      <c r="A347" s="7">
        <f t="shared" si="5"/>
        <v>42493</v>
      </c>
      <c r="B347" s="27"/>
      <c r="C347" s="8"/>
      <c r="D347" s="9"/>
      <c r="E347" s="8"/>
      <c r="F347" s="8"/>
      <c r="G347" s="8"/>
      <c r="H347" s="8"/>
      <c r="I347" s="9"/>
      <c r="J347" s="9"/>
      <c r="K347" s="9"/>
      <c r="L347" s="8"/>
      <c r="M347" s="9"/>
      <c r="N347" s="9"/>
      <c r="O347" s="9"/>
      <c r="P347" s="19"/>
      <c r="Q347" s="10"/>
    </row>
    <row r="348" spans="1:17">
      <c r="A348" s="7">
        <f t="shared" si="5"/>
        <v>42494</v>
      </c>
      <c r="B348" s="27"/>
      <c r="C348" s="8"/>
      <c r="D348" s="9"/>
      <c r="E348" s="8"/>
      <c r="F348" s="8"/>
      <c r="G348" s="8"/>
      <c r="H348" s="8"/>
      <c r="I348" s="9"/>
      <c r="J348" s="9"/>
      <c r="K348" s="9"/>
      <c r="L348" s="8"/>
      <c r="M348" s="9"/>
      <c r="N348" s="9"/>
      <c r="O348" s="9"/>
      <c r="P348" s="19"/>
      <c r="Q348" s="10"/>
    </row>
    <row r="349" spans="1:17">
      <c r="A349" s="7">
        <f t="shared" si="5"/>
        <v>42495</v>
      </c>
      <c r="B349" s="27"/>
      <c r="C349" s="8"/>
      <c r="D349" s="9"/>
      <c r="E349" s="8"/>
      <c r="F349" s="8"/>
      <c r="G349" s="8"/>
      <c r="H349" s="8"/>
      <c r="I349" s="9"/>
      <c r="J349" s="9"/>
      <c r="K349" s="9"/>
      <c r="L349" s="8"/>
      <c r="M349" s="9"/>
      <c r="N349" s="9"/>
      <c r="O349" s="9"/>
      <c r="P349" s="19"/>
      <c r="Q349" s="10"/>
    </row>
    <row r="350" spans="1:17">
      <c r="A350" s="7">
        <f t="shared" si="5"/>
        <v>42496</v>
      </c>
      <c r="B350" s="27"/>
      <c r="C350" s="8"/>
      <c r="D350" s="9"/>
      <c r="E350" s="8"/>
      <c r="F350" s="8"/>
      <c r="G350" s="8"/>
      <c r="H350" s="8"/>
      <c r="I350" s="9"/>
      <c r="J350" s="9"/>
      <c r="K350" s="9"/>
      <c r="L350" s="8"/>
      <c r="M350" s="9"/>
      <c r="N350" s="9"/>
      <c r="O350" s="9"/>
      <c r="P350" s="19"/>
      <c r="Q350" s="10"/>
    </row>
    <row r="351" spans="1:17">
      <c r="A351" s="7">
        <f t="shared" si="5"/>
        <v>42497</v>
      </c>
      <c r="B351" s="27"/>
      <c r="C351" s="8"/>
      <c r="D351" s="9"/>
      <c r="E351" s="8"/>
      <c r="F351" s="8"/>
      <c r="G351" s="8"/>
      <c r="H351" s="8"/>
      <c r="I351" s="9"/>
      <c r="J351" s="9"/>
      <c r="K351" s="9"/>
      <c r="L351" s="8"/>
      <c r="M351" s="9"/>
      <c r="N351" s="9"/>
      <c r="O351" s="9"/>
      <c r="P351" s="19"/>
      <c r="Q351" s="10"/>
    </row>
    <row r="352" spans="1:17">
      <c r="A352" s="7">
        <f t="shared" si="5"/>
        <v>42498</v>
      </c>
      <c r="B352" s="27"/>
      <c r="C352" s="8"/>
      <c r="D352" s="9"/>
      <c r="E352" s="8"/>
      <c r="F352" s="8"/>
      <c r="G352" s="8"/>
      <c r="H352" s="8"/>
      <c r="I352" s="9"/>
      <c r="J352" s="9"/>
      <c r="K352" s="9"/>
      <c r="L352" s="8"/>
      <c r="M352" s="9"/>
      <c r="N352" s="9"/>
      <c r="O352" s="9"/>
      <c r="P352" s="19"/>
      <c r="Q352" s="10"/>
    </row>
    <row r="353" spans="1:17">
      <c r="A353" s="7">
        <f t="shared" si="5"/>
        <v>42499</v>
      </c>
      <c r="B353" s="27"/>
      <c r="C353" s="27"/>
      <c r="D353" s="21"/>
      <c r="E353" s="27"/>
      <c r="F353" s="29">
        <f>IFERROR(IF(INPUTS!B354="Male", 86.01*LOG(C353-D353)-70.041*LOG(INPUTS!B$7)+30.3, 163.205*LOG('CUTTING TRACKER'!C353+'CUTTING TRACKER'!E353-'CUTTING TRACKER'!D353)-97.684*LOG(INPUTS!B$7)-104.912),0)</f>
        <v>0</v>
      </c>
      <c r="G353" s="29"/>
      <c r="H353" s="11" t="str">
        <f>IF(B353&gt;0, AVERAGE(B347:B353), " ")</f>
        <v xml:space="preserve"> </v>
      </c>
      <c r="I353" s="12">
        <f>IFERROR(IF(B353&gt;0, (H346-H353)/H346,0.007), 0)</f>
        <v>7.0000000000000001E-3</v>
      </c>
      <c r="J353" s="13" t="str">
        <f>IF(I353&lt;0, "Cut 200kcal", "")</f>
        <v/>
      </c>
      <c r="K353" s="13" t="str">
        <f>IF(AND(I353&lt;0.005, I353&gt;=0), "Cut 100kcal", "")</f>
        <v/>
      </c>
      <c r="L353" s="13" t="str">
        <f>IF(AND(I353&lt;0.006, I353&gt;=0.005), "Cut 50kcal", "")</f>
        <v/>
      </c>
      <c r="M353" s="13" t="str">
        <f>IF(AND(I353&lt;0.008, I353&gt;=0.006), "Remain Constant", "")</f>
        <v>Remain Constant</v>
      </c>
      <c r="N353" s="13" t="str">
        <f>IF(AND(I353&gt;=0.008,I353&lt;0.01), "Add 50kcal", "")</f>
        <v/>
      </c>
      <c r="O353" s="13" t="str">
        <f>IF(I353&gt;=0.01, "Add 100kcal", "")</f>
        <v/>
      </c>
      <c r="P353" s="20"/>
      <c r="Q353" s="5" t="str">
        <f>IF(P353&gt;0,Q346+P353,"")</f>
        <v/>
      </c>
    </row>
    <row r="354" spans="1:17">
      <c r="A354" s="7">
        <f t="shared" si="5"/>
        <v>42500</v>
      </c>
      <c r="B354" s="27"/>
      <c r="C354" s="8"/>
      <c r="D354" s="9"/>
      <c r="E354" s="8"/>
      <c r="F354" s="8"/>
      <c r="G354" s="8"/>
      <c r="H354" s="8"/>
      <c r="I354" s="9"/>
      <c r="J354" s="9"/>
      <c r="K354" s="9"/>
      <c r="L354" s="8"/>
      <c r="M354" s="9"/>
      <c r="N354" s="9"/>
      <c r="O354" s="9"/>
      <c r="P354" s="19"/>
      <c r="Q354" s="10"/>
    </row>
    <row r="355" spans="1:17">
      <c r="A355" s="7">
        <f t="shared" si="5"/>
        <v>42501</v>
      </c>
      <c r="B355" s="27"/>
      <c r="C355" s="8"/>
      <c r="D355" s="9"/>
      <c r="E355" s="8"/>
      <c r="F355" s="8"/>
      <c r="G355" s="8"/>
      <c r="H355" s="8"/>
      <c r="I355" s="9"/>
      <c r="J355" s="9"/>
      <c r="K355" s="9"/>
      <c r="L355" s="8"/>
      <c r="M355" s="9"/>
      <c r="N355" s="9"/>
      <c r="O355" s="9"/>
      <c r="P355" s="19"/>
      <c r="Q355" s="10"/>
    </row>
    <row r="356" spans="1:17">
      <c r="A356" s="7">
        <f t="shared" si="5"/>
        <v>42502</v>
      </c>
      <c r="B356" s="27"/>
      <c r="C356" s="8"/>
      <c r="D356" s="9"/>
      <c r="E356" s="8"/>
      <c r="F356" s="8"/>
      <c r="G356" s="8"/>
      <c r="H356" s="8"/>
      <c r="I356" s="9"/>
      <c r="J356" s="9"/>
      <c r="K356" s="9"/>
      <c r="L356" s="8"/>
      <c r="M356" s="9"/>
      <c r="N356" s="9"/>
      <c r="O356" s="9"/>
      <c r="P356" s="19"/>
      <c r="Q356" s="10"/>
    </row>
    <row r="357" spans="1:17">
      <c r="A357" s="7">
        <f t="shared" si="5"/>
        <v>42503</v>
      </c>
      <c r="B357" s="27"/>
      <c r="C357" s="8"/>
      <c r="D357" s="9"/>
      <c r="E357" s="8"/>
      <c r="F357" s="8"/>
      <c r="G357" s="8"/>
      <c r="H357" s="8"/>
      <c r="I357" s="9"/>
      <c r="J357" s="9"/>
      <c r="K357" s="9"/>
      <c r="L357" s="8"/>
      <c r="M357" s="9"/>
      <c r="N357" s="9"/>
      <c r="O357" s="9"/>
      <c r="P357" s="19"/>
      <c r="Q357" s="10"/>
    </row>
    <row r="358" spans="1:17">
      <c r="A358" s="7">
        <f t="shared" si="5"/>
        <v>42504</v>
      </c>
      <c r="B358" s="27"/>
      <c r="C358" s="8"/>
      <c r="D358" s="9"/>
      <c r="E358" s="8"/>
      <c r="F358" s="8"/>
      <c r="G358" s="8"/>
      <c r="H358" s="8"/>
      <c r="I358" s="9"/>
      <c r="J358" s="9"/>
      <c r="K358" s="9"/>
      <c r="L358" s="8"/>
      <c r="M358" s="9"/>
      <c r="N358" s="9"/>
      <c r="O358" s="9"/>
      <c r="P358" s="19"/>
      <c r="Q358" s="10"/>
    </row>
    <row r="359" spans="1:17">
      <c r="A359" s="7">
        <f t="shared" si="5"/>
        <v>42505</v>
      </c>
      <c r="B359" s="27"/>
      <c r="C359" s="8"/>
      <c r="D359" s="9"/>
      <c r="E359" s="8"/>
      <c r="F359" s="8"/>
      <c r="G359" s="8"/>
      <c r="H359" s="8"/>
      <c r="I359" s="9"/>
      <c r="J359" s="9"/>
      <c r="K359" s="9"/>
      <c r="L359" s="8"/>
      <c r="M359" s="9"/>
      <c r="N359" s="9"/>
      <c r="O359" s="9"/>
      <c r="P359" s="19"/>
      <c r="Q359" s="10"/>
    </row>
    <row r="360" spans="1:17">
      <c r="A360" s="7">
        <f t="shared" si="5"/>
        <v>42506</v>
      </c>
      <c r="B360" s="27"/>
      <c r="C360" s="27"/>
      <c r="D360" s="21"/>
      <c r="E360" s="27"/>
      <c r="F360" s="29">
        <f>IFERROR(IF(INPUTS!B361="Male", 86.01*LOG(C360-D360)-70.041*LOG(INPUTS!B$7)+30.3, 163.205*LOG('CUTTING TRACKER'!C360+'CUTTING TRACKER'!E360-'CUTTING TRACKER'!D360)-97.684*LOG(INPUTS!B$7)-104.912),0)</f>
        <v>0</v>
      </c>
      <c r="G360" s="29"/>
      <c r="H360" s="11" t="str">
        <f>IF(B360&gt;0, AVERAGE(B354:B360), " ")</f>
        <v xml:space="preserve"> </v>
      </c>
      <c r="I360" s="12">
        <f>IFERROR(IF(B360&gt;0, (H353-H360)/H353,0.007), 0)</f>
        <v>7.0000000000000001E-3</v>
      </c>
      <c r="J360" s="13" t="str">
        <f>IF(I360&lt;0, "Cut 200kcal", "")</f>
        <v/>
      </c>
      <c r="K360" s="13" t="str">
        <f>IF(AND(I360&lt;0.005, I360&gt;=0), "Cut 100kcal", "")</f>
        <v/>
      </c>
      <c r="L360" s="13" t="str">
        <f>IF(AND(I360&lt;0.006, I360&gt;=0.005), "Cut 50kcal", "")</f>
        <v/>
      </c>
      <c r="M360" s="13" t="str">
        <f>IF(AND(I360&lt;0.008, I360&gt;=0.006), "Remain Constant", "")</f>
        <v>Remain Constant</v>
      </c>
      <c r="N360" s="13" t="str">
        <f>IF(AND(I360&gt;=0.008,I360&lt;0.01), "Add 50kcal", "")</f>
        <v/>
      </c>
      <c r="O360" s="13" t="str">
        <f>IF(I360&gt;=0.01, "Add 100kcal", "")</f>
        <v/>
      </c>
      <c r="P360" s="20"/>
      <c r="Q360" s="5" t="str">
        <f>IF(P360&gt;0,Q353+P360,"")</f>
        <v/>
      </c>
    </row>
    <row r="361" spans="1:17">
      <c r="A361" s="7">
        <f t="shared" si="5"/>
        <v>42507</v>
      </c>
      <c r="B361" s="27"/>
      <c r="C361" s="8"/>
      <c r="D361" s="9"/>
      <c r="E361" s="8"/>
      <c r="F361" s="8"/>
      <c r="G361" s="8"/>
      <c r="H361" s="8"/>
      <c r="I361" s="9"/>
      <c r="J361" s="9"/>
      <c r="K361" s="9"/>
      <c r="L361" s="8"/>
      <c r="M361" s="9"/>
      <c r="N361" s="9"/>
      <c r="O361" s="9"/>
      <c r="P361" s="19"/>
      <c r="Q361" s="10"/>
    </row>
    <row r="362" spans="1:17">
      <c r="A362" s="7">
        <f t="shared" si="5"/>
        <v>42508</v>
      </c>
      <c r="B362" s="27"/>
      <c r="C362" s="8"/>
      <c r="D362" s="9"/>
      <c r="E362" s="8"/>
      <c r="F362" s="8"/>
      <c r="G362" s="8"/>
      <c r="H362" s="8"/>
      <c r="I362" s="9"/>
      <c r="J362" s="9"/>
      <c r="K362" s="9"/>
      <c r="L362" s="8"/>
      <c r="M362" s="9"/>
      <c r="N362" s="9"/>
      <c r="O362" s="9"/>
      <c r="P362" s="19"/>
      <c r="Q362" s="10"/>
    </row>
    <row r="363" spans="1:17">
      <c r="A363" s="7">
        <f t="shared" si="5"/>
        <v>42509</v>
      </c>
      <c r="B363" s="27"/>
      <c r="C363" s="8"/>
      <c r="D363" s="9"/>
      <c r="E363" s="8"/>
      <c r="F363" s="8"/>
      <c r="G363" s="8"/>
      <c r="H363" s="8"/>
      <c r="I363" s="9"/>
      <c r="J363" s="9"/>
      <c r="K363" s="9"/>
      <c r="L363" s="8"/>
      <c r="M363" s="9"/>
      <c r="N363" s="9"/>
      <c r="O363" s="9"/>
      <c r="P363" s="19"/>
      <c r="Q363" s="10"/>
    </row>
    <row r="364" spans="1:17">
      <c r="A364" s="7">
        <f t="shared" si="5"/>
        <v>42510</v>
      </c>
      <c r="B364" s="27"/>
      <c r="C364" s="8"/>
      <c r="D364" s="9"/>
      <c r="E364" s="8"/>
      <c r="F364" s="8"/>
      <c r="G364" s="8"/>
      <c r="H364" s="8"/>
      <c r="I364" s="9"/>
      <c r="J364" s="9"/>
      <c r="K364" s="9"/>
      <c r="L364" s="8"/>
      <c r="M364" s="9"/>
      <c r="N364" s="9"/>
      <c r="O364" s="9"/>
      <c r="P364" s="19"/>
      <c r="Q364" s="10"/>
    </row>
    <row r="365" spans="1:17">
      <c r="A365" s="7">
        <f t="shared" si="5"/>
        <v>42511</v>
      </c>
      <c r="B365" s="27"/>
      <c r="C365" s="8"/>
      <c r="D365" s="9"/>
      <c r="E365" s="8"/>
      <c r="F365" s="8"/>
      <c r="G365" s="8"/>
      <c r="H365" s="8"/>
      <c r="I365" s="9"/>
      <c r="J365" s="9"/>
      <c r="K365" s="9"/>
      <c r="L365" s="8"/>
      <c r="M365" s="9"/>
      <c r="N365" s="9"/>
      <c r="O365" s="9"/>
      <c r="P365" s="19"/>
      <c r="Q365" s="10"/>
    </row>
    <row r="366" spans="1:17">
      <c r="A366" s="7">
        <f t="shared" si="5"/>
        <v>42512</v>
      </c>
      <c r="B366" s="27"/>
      <c r="C366" s="8"/>
      <c r="D366" s="9"/>
      <c r="E366" s="8"/>
      <c r="F366" s="8"/>
      <c r="G366" s="8"/>
      <c r="H366" s="8"/>
      <c r="I366" s="9"/>
      <c r="J366" s="9"/>
      <c r="K366" s="9"/>
      <c r="L366" s="8"/>
      <c r="M366" s="9"/>
      <c r="N366" s="9"/>
      <c r="O366" s="9"/>
      <c r="P366" s="19"/>
      <c r="Q366" s="10"/>
    </row>
    <row r="367" spans="1:17">
      <c r="A367" s="7">
        <f t="shared" si="5"/>
        <v>42513</v>
      </c>
      <c r="B367" s="27"/>
      <c r="C367" s="27"/>
      <c r="D367" s="21"/>
      <c r="E367" s="27"/>
      <c r="F367" s="29">
        <f>IFERROR(IF(INPUTS!B368="Male", 86.01*LOG(C367-D367)-70.041*LOG(INPUTS!B$7)+30.3, 163.205*LOG('CUTTING TRACKER'!C367+'CUTTING TRACKER'!E367-'CUTTING TRACKER'!D367)-97.684*LOG(INPUTS!B$7)-104.912),0)</f>
        <v>0</v>
      </c>
      <c r="G367" s="29"/>
      <c r="H367" s="11" t="str">
        <f>IF(B367&gt;0, AVERAGE(B361:B367), " ")</f>
        <v xml:space="preserve"> </v>
      </c>
      <c r="I367" s="12">
        <f>IFERROR(IF(B367&gt;0, (H360-H367)/H360,0.007), 0)</f>
        <v>7.0000000000000001E-3</v>
      </c>
      <c r="J367" s="13" t="str">
        <f>IF(I367&lt;0, "Cut 200kcal", "")</f>
        <v/>
      </c>
      <c r="K367" s="13" t="str">
        <f>IF(AND(I367&lt;0.005, I367&gt;=0), "Cut 100kcal", "")</f>
        <v/>
      </c>
      <c r="L367" s="13" t="str">
        <f>IF(AND(I367&lt;0.006, I367&gt;=0.005), "Cut 50kcal", "")</f>
        <v/>
      </c>
      <c r="M367" s="13" t="str">
        <f>IF(AND(I367&lt;0.008, I367&gt;=0.006), "Remain Constant", "")</f>
        <v>Remain Constant</v>
      </c>
      <c r="N367" s="13" t="str">
        <f>IF(AND(I367&gt;=0.008,I367&lt;0.01), "Add 50kcal", "")</f>
        <v/>
      </c>
      <c r="O367" s="13" t="str">
        <f>IF(I367&gt;=0.01, "Add 100kcal", "")</f>
        <v/>
      </c>
      <c r="P367" s="20"/>
      <c r="Q367" s="5" t="str">
        <f>IF(P367&gt;0,Q360+P367,"")</f>
        <v/>
      </c>
    </row>
    <row r="368" spans="1:17" s="75" customFormat="1">
      <c r="A368" s="118"/>
      <c r="B368" s="119"/>
      <c r="C368" s="119"/>
      <c r="D368" s="120"/>
      <c r="E368" s="119"/>
      <c r="F368" s="119"/>
      <c r="G368" s="119"/>
      <c r="H368" s="119"/>
      <c r="I368" s="121"/>
    </row>
    <row r="369" spans="1:9" s="75" customFormat="1">
      <c r="A369" s="118"/>
      <c r="B369" s="119"/>
      <c r="C369" s="119"/>
      <c r="D369" s="120"/>
      <c r="E369" s="119"/>
      <c r="F369" s="119"/>
      <c r="G369" s="119"/>
      <c r="H369" s="119"/>
      <c r="I369" s="121"/>
    </row>
    <row r="370" spans="1:9" s="75" customFormat="1">
      <c r="A370" s="118"/>
      <c r="B370" s="119"/>
      <c r="C370" s="119"/>
      <c r="D370" s="120"/>
      <c r="E370" s="119"/>
      <c r="F370" s="119"/>
      <c r="G370" s="119"/>
      <c r="H370" s="119"/>
      <c r="I370" s="121"/>
    </row>
    <row r="371" spans="1:9" s="75" customFormat="1">
      <c r="A371" s="118"/>
      <c r="B371" s="119"/>
      <c r="C371" s="119"/>
      <c r="D371" s="120"/>
      <c r="E371" s="119"/>
      <c r="F371" s="119"/>
      <c r="G371" s="119"/>
      <c r="H371" s="119"/>
      <c r="I371" s="121"/>
    </row>
    <row r="372" spans="1:9" s="75" customFormat="1">
      <c r="A372" s="118"/>
      <c r="B372" s="119"/>
      <c r="C372" s="119"/>
      <c r="D372" s="120"/>
      <c r="E372" s="119"/>
      <c r="F372" s="119"/>
      <c r="G372" s="119"/>
      <c r="H372" s="119"/>
      <c r="I372" s="121"/>
    </row>
    <row r="373" spans="1:9" s="75" customFormat="1">
      <c r="A373" s="118"/>
      <c r="B373" s="119"/>
      <c r="C373" s="119"/>
      <c r="D373" s="120"/>
      <c r="E373" s="119"/>
      <c r="F373" s="119"/>
      <c r="G373" s="119"/>
      <c r="H373" s="119"/>
      <c r="I373" s="121"/>
    </row>
    <row r="374" spans="1:9" s="75" customFormat="1">
      <c r="A374" s="118"/>
      <c r="B374" s="119"/>
      <c r="C374" s="119"/>
      <c r="D374" s="120"/>
      <c r="E374" s="119"/>
      <c r="F374" s="119"/>
      <c r="G374" s="119"/>
      <c r="H374" s="119"/>
      <c r="I374" s="121"/>
    </row>
    <row r="375" spans="1:9" s="75" customFormat="1">
      <c r="A375" s="118"/>
      <c r="B375" s="119"/>
      <c r="C375" s="119"/>
      <c r="D375" s="120"/>
      <c r="E375" s="119"/>
      <c r="F375" s="119"/>
      <c r="G375" s="119"/>
      <c r="H375" s="119"/>
      <c r="I375" s="121"/>
    </row>
    <row r="376" spans="1:9" s="75" customFormat="1">
      <c r="A376" s="118"/>
      <c r="B376" s="119"/>
      <c r="C376" s="119"/>
      <c r="D376" s="120"/>
      <c r="E376" s="119"/>
      <c r="F376" s="119"/>
      <c r="G376" s="119"/>
      <c r="H376" s="119"/>
      <c r="I376" s="121"/>
    </row>
    <row r="377" spans="1:9" s="75" customFormat="1">
      <c r="A377" s="118"/>
      <c r="B377" s="119"/>
      <c r="C377" s="119"/>
      <c r="D377" s="120"/>
      <c r="E377" s="119"/>
      <c r="F377" s="119"/>
      <c r="G377" s="119"/>
      <c r="H377" s="119"/>
      <c r="I377" s="121"/>
    </row>
    <row r="378" spans="1:9" s="75" customFormat="1">
      <c r="A378" s="118"/>
      <c r="B378" s="119"/>
      <c r="C378" s="119"/>
      <c r="D378" s="120"/>
      <c r="E378" s="119"/>
      <c r="F378" s="119"/>
      <c r="G378" s="119"/>
      <c r="H378" s="119"/>
      <c r="I378" s="121"/>
    </row>
    <row r="379" spans="1:9" s="75" customFormat="1">
      <c r="A379" s="118"/>
      <c r="B379" s="119"/>
      <c r="C379" s="119"/>
      <c r="D379" s="120"/>
      <c r="E379" s="119"/>
      <c r="F379" s="119"/>
      <c r="G379" s="119"/>
      <c r="H379" s="119"/>
      <c r="I379" s="121"/>
    </row>
    <row r="380" spans="1:9" s="75" customFormat="1">
      <c r="A380" s="118"/>
      <c r="B380" s="119"/>
      <c r="C380" s="119"/>
      <c r="D380" s="120"/>
      <c r="E380" s="119"/>
      <c r="F380" s="119"/>
      <c r="G380" s="119"/>
      <c r="H380" s="119"/>
      <c r="I380" s="121"/>
    </row>
    <row r="381" spans="1:9" s="75" customFormat="1">
      <c r="A381" s="118"/>
      <c r="B381" s="119"/>
      <c r="C381" s="119"/>
      <c r="D381" s="120"/>
      <c r="E381" s="119"/>
      <c r="F381" s="119"/>
      <c r="G381" s="119"/>
      <c r="H381" s="119"/>
      <c r="I381" s="121"/>
    </row>
    <row r="382" spans="1:9" s="75" customFormat="1">
      <c r="A382" s="118"/>
      <c r="B382" s="119"/>
      <c r="C382" s="119"/>
      <c r="D382" s="120"/>
      <c r="E382" s="119"/>
      <c r="F382" s="119"/>
      <c r="G382" s="119"/>
      <c r="H382" s="119"/>
      <c r="I382" s="121"/>
    </row>
    <row r="383" spans="1:9" s="75" customFormat="1">
      <c r="A383" s="118"/>
      <c r="B383" s="119"/>
      <c r="C383" s="119"/>
      <c r="D383" s="120"/>
      <c r="E383" s="119"/>
      <c r="F383" s="119"/>
      <c r="G383" s="119"/>
      <c r="H383" s="119"/>
      <c r="I383" s="121"/>
    </row>
    <row r="384" spans="1:9" s="75" customFormat="1">
      <c r="A384" s="118"/>
      <c r="B384" s="119"/>
      <c r="C384" s="119"/>
      <c r="D384" s="120"/>
      <c r="E384" s="119"/>
      <c r="F384" s="119"/>
      <c r="G384" s="119"/>
      <c r="H384" s="119"/>
      <c r="I384" s="121"/>
    </row>
    <row r="385" spans="1:9" s="75" customFormat="1">
      <c r="A385" s="118"/>
      <c r="B385" s="119"/>
      <c r="C385" s="119"/>
      <c r="D385" s="120"/>
      <c r="E385" s="119"/>
      <c r="F385" s="119"/>
      <c r="G385" s="119"/>
      <c r="H385" s="119"/>
      <c r="I385" s="121"/>
    </row>
    <row r="386" spans="1:9" s="75" customFormat="1">
      <c r="A386" s="118"/>
      <c r="B386" s="119"/>
      <c r="C386" s="119"/>
      <c r="D386" s="120"/>
      <c r="E386" s="119"/>
      <c r="F386" s="119"/>
      <c r="G386" s="119"/>
      <c r="H386" s="119"/>
      <c r="I386" s="121"/>
    </row>
    <row r="387" spans="1:9" s="75" customFormat="1">
      <c r="A387" s="118"/>
      <c r="B387" s="119"/>
      <c r="C387" s="119"/>
      <c r="D387" s="120"/>
      <c r="E387" s="119"/>
      <c r="F387" s="119"/>
      <c r="G387" s="119"/>
      <c r="H387" s="119"/>
      <c r="I387" s="121"/>
    </row>
    <row r="388" spans="1:9" s="75" customFormat="1">
      <c r="A388" s="118"/>
      <c r="B388" s="119"/>
      <c r="C388" s="119"/>
      <c r="D388" s="120"/>
      <c r="E388" s="119"/>
      <c r="F388" s="119"/>
      <c r="G388" s="119"/>
      <c r="H388" s="119"/>
      <c r="I388" s="121"/>
    </row>
    <row r="389" spans="1:9" s="75" customFormat="1">
      <c r="A389" s="118"/>
      <c r="B389" s="119"/>
      <c r="C389" s="119"/>
      <c r="D389" s="120"/>
      <c r="E389" s="119"/>
      <c r="F389" s="119"/>
      <c r="G389" s="119"/>
      <c r="H389" s="119"/>
      <c r="I389" s="121"/>
    </row>
    <row r="390" spans="1:9" s="75" customFormat="1">
      <c r="A390" s="118"/>
      <c r="B390" s="119"/>
      <c r="C390" s="119"/>
      <c r="D390" s="120"/>
      <c r="E390" s="119"/>
      <c r="F390" s="119"/>
      <c r="G390" s="119"/>
      <c r="H390" s="119"/>
      <c r="I390" s="121"/>
    </row>
    <row r="391" spans="1:9" s="75" customFormat="1">
      <c r="A391" s="118"/>
      <c r="B391" s="119"/>
      <c r="C391" s="119"/>
      <c r="D391" s="120"/>
      <c r="E391" s="119"/>
      <c r="F391" s="119"/>
      <c r="G391" s="119"/>
      <c r="H391" s="119"/>
      <c r="I391" s="121"/>
    </row>
    <row r="392" spans="1:9" s="75" customFormat="1">
      <c r="A392" s="118"/>
      <c r="B392" s="119"/>
      <c r="C392" s="119"/>
      <c r="D392" s="120"/>
      <c r="E392" s="119"/>
      <c r="F392" s="119"/>
      <c r="G392" s="119"/>
      <c r="H392" s="119"/>
      <c r="I392" s="121"/>
    </row>
    <row r="393" spans="1:9" s="75" customFormat="1">
      <c r="A393" s="118"/>
      <c r="B393" s="119"/>
      <c r="C393" s="119"/>
      <c r="D393" s="120"/>
      <c r="E393" s="119"/>
      <c r="F393" s="119"/>
      <c r="G393" s="119"/>
      <c r="H393" s="119"/>
      <c r="I393" s="121"/>
    </row>
    <row r="394" spans="1:9" s="75" customFormat="1">
      <c r="A394" s="118"/>
      <c r="B394" s="119"/>
      <c r="C394" s="119"/>
      <c r="D394" s="120"/>
      <c r="E394" s="119"/>
      <c r="F394" s="119"/>
      <c r="G394" s="119"/>
      <c r="H394" s="119"/>
      <c r="I394" s="121"/>
    </row>
    <row r="395" spans="1:9" s="75" customFormat="1">
      <c r="A395" s="118"/>
      <c r="B395" s="119"/>
      <c r="C395" s="119"/>
      <c r="D395" s="120"/>
      <c r="E395" s="119"/>
      <c r="F395" s="119"/>
      <c r="G395" s="119"/>
      <c r="H395" s="119"/>
      <c r="I395" s="121"/>
    </row>
    <row r="396" spans="1:9" s="75" customFormat="1">
      <c r="A396" s="118"/>
      <c r="B396" s="119"/>
      <c r="C396" s="119"/>
      <c r="D396" s="120"/>
      <c r="E396" s="119"/>
      <c r="F396" s="119"/>
      <c r="G396" s="119"/>
      <c r="H396" s="119"/>
      <c r="I396" s="121"/>
    </row>
    <row r="397" spans="1:9" s="75" customFormat="1">
      <c r="A397" s="118"/>
      <c r="B397" s="119"/>
      <c r="C397" s="119"/>
      <c r="D397" s="120"/>
      <c r="E397" s="119"/>
      <c r="F397" s="119"/>
      <c r="G397" s="119"/>
      <c r="H397" s="119"/>
      <c r="I397" s="121"/>
    </row>
    <row r="398" spans="1:9" s="75" customFormat="1">
      <c r="A398" s="118"/>
      <c r="B398" s="119"/>
      <c r="C398" s="119"/>
      <c r="D398" s="120"/>
      <c r="E398" s="119"/>
      <c r="F398" s="119"/>
      <c r="G398" s="119"/>
      <c r="H398" s="119"/>
      <c r="I398" s="121"/>
    </row>
    <row r="399" spans="1:9" s="75" customFormat="1">
      <c r="A399" s="118"/>
      <c r="B399" s="119"/>
      <c r="C399" s="119"/>
      <c r="D399" s="120"/>
      <c r="E399" s="119"/>
      <c r="F399" s="119"/>
      <c r="G399" s="119"/>
      <c r="H399" s="119"/>
      <c r="I399" s="121"/>
    </row>
    <row r="400" spans="1:9" s="75" customFormat="1">
      <c r="A400" s="118"/>
      <c r="B400" s="119"/>
      <c r="C400" s="119"/>
      <c r="D400" s="120"/>
      <c r="E400" s="119"/>
      <c r="F400" s="119"/>
      <c r="G400" s="119"/>
      <c r="H400" s="119"/>
      <c r="I400" s="121"/>
    </row>
    <row r="401" spans="1:9" s="75" customFormat="1">
      <c r="A401" s="118"/>
      <c r="B401" s="119"/>
      <c r="C401" s="119"/>
      <c r="D401" s="120"/>
      <c r="E401" s="119"/>
      <c r="F401" s="119"/>
      <c r="G401" s="119"/>
      <c r="H401" s="119"/>
      <c r="I401" s="121"/>
    </row>
    <row r="402" spans="1:9" s="75" customFormat="1">
      <c r="A402" s="118"/>
      <c r="B402" s="119"/>
      <c r="C402" s="119"/>
      <c r="D402" s="120"/>
      <c r="E402" s="119"/>
      <c r="F402" s="119"/>
      <c r="G402" s="119"/>
      <c r="H402" s="119"/>
      <c r="I402" s="121"/>
    </row>
    <row r="403" spans="1:9" s="75" customFormat="1">
      <c r="A403" s="118"/>
      <c r="B403" s="119"/>
      <c r="C403" s="119"/>
      <c r="D403" s="120"/>
      <c r="E403" s="119"/>
      <c r="F403" s="119"/>
      <c r="G403" s="119"/>
      <c r="H403" s="119"/>
      <c r="I403" s="121"/>
    </row>
    <row r="404" spans="1:9" s="75" customFormat="1">
      <c r="A404" s="118"/>
      <c r="B404" s="119"/>
      <c r="C404" s="119"/>
      <c r="D404" s="120"/>
      <c r="E404" s="119"/>
      <c r="F404" s="119"/>
      <c r="G404" s="119"/>
      <c r="H404" s="119"/>
      <c r="I404" s="121"/>
    </row>
    <row r="405" spans="1:9" s="75" customFormat="1">
      <c r="A405" s="118"/>
      <c r="B405" s="119"/>
      <c r="C405" s="119"/>
      <c r="D405" s="120"/>
      <c r="E405" s="119"/>
      <c r="F405" s="119"/>
      <c r="G405" s="119"/>
      <c r="H405" s="119"/>
      <c r="I405" s="121"/>
    </row>
    <row r="406" spans="1:9" s="75" customFormat="1">
      <c r="A406" s="118"/>
      <c r="B406" s="119"/>
      <c r="C406" s="119"/>
      <c r="D406" s="120"/>
      <c r="E406" s="119"/>
      <c r="F406" s="119"/>
      <c r="G406" s="119"/>
      <c r="H406" s="119"/>
      <c r="I406" s="121"/>
    </row>
    <row r="407" spans="1:9" s="75" customFormat="1">
      <c r="A407" s="118"/>
      <c r="B407" s="119"/>
      <c r="C407" s="119"/>
      <c r="D407" s="120"/>
      <c r="E407" s="119"/>
      <c r="F407" s="119"/>
      <c r="G407" s="119"/>
      <c r="H407" s="119"/>
      <c r="I407" s="121"/>
    </row>
    <row r="408" spans="1:9" s="75" customFormat="1">
      <c r="A408" s="118"/>
      <c r="B408" s="119"/>
      <c r="C408" s="119"/>
      <c r="D408" s="120"/>
      <c r="E408" s="119"/>
      <c r="F408" s="119"/>
      <c r="G408" s="119"/>
      <c r="H408" s="119"/>
      <c r="I408" s="121"/>
    </row>
    <row r="409" spans="1:9" s="75" customFormat="1">
      <c r="A409" s="118"/>
      <c r="B409" s="119"/>
      <c r="C409" s="119"/>
      <c r="D409" s="120"/>
      <c r="E409" s="119"/>
      <c r="F409" s="119"/>
      <c r="G409" s="119"/>
      <c r="H409" s="119"/>
      <c r="I409" s="121"/>
    </row>
    <row r="410" spans="1:9" s="75" customFormat="1">
      <c r="A410" s="118"/>
      <c r="B410" s="119"/>
      <c r="C410" s="119"/>
      <c r="D410" s="120"/>
      <c r="E410" s="119"/>
      <c r="F410" s="119"/>
      <c r="G410" s="119"/>
      <c r="H410" s="119"/>
      <c r="I410" s="121"/>
    </row>
    <row r="411" spans="1:9" s="75" customFormat="1">
      <c r="A411" s="118"/>
      <c r="B411" s="119"/>
      <c r="C411" s="119"/>
      <c r="D411" s="120"/>
      <c r="E411" s="119"/>
      <c r="F411" s="119"/>
      <c r="G411" s="119"/>
      <c r="H411" s="119"/>
      <c r="I411" s="121"/>
    </row>
    <row r="412" spans="1:9" s="75" customFormat="1">
      <c r="A412" s="118"/>
      <c r="B412" s="119"/>
      <c r="C412" s="119"/>
      <c r="D412" s="120"/>
      <c r="E412" s="119"/>
      <c r="F412" s="119"/>
      <c r="G412" s="119"/>
      <c r="H412" s="119"/>
      <c r="I412" s="121"/>
    </row>
    <row r="413" spans="1:9" s="75" customFormat="1">
      <c r="A413" s="118"/>
      <c r="B413" s="119"/>
      <c r="C413" s="119"/>
      <c r="D413" s="120"/>
      <c r="E413" s="119"/>
      <c r="F413" s="119"/>
      <c r="G413" s="119"/>
      <c r="H413" s="119"/>
      <c r="I413" s="121"/>
    </row>
    <row r="414" spans="1:9" s="75" customFormat="1">
      <c r="A414" s="118"/>
      <c r="B414" s="119"/>
      <c r="C414" s="119"/>
      <c r="D414" s="120"/>
      <c r="E414" s="119"/>
      <c r="F414" s="119"/>
      <c r="G414" s="119"/>
      <c r="H414" s="119"/>
      <c r="I414" s="121"/>
    </row>
    <row r="415" spans="1:9" s="75" customFormat="1">
      <c r="A415" s="118"/>
      <c r="B415" s="119"/>
      <c r="C415" s="119"/>
      <c r="D415" s="120"/>
      <c r="E415" s="119"/>
      <c r="F415" s="119"/>
      <c r="G415" s="119"/>
      <c r="H415" s="119"/>
      <c r="I415" s="121"/>
    </row>
    <row r="416" spans="1:9" s="75" customFormat="1">
      <c r="A416" s="118"/>
      <c r="B416" s="119"/>
      <c r="C416" s="119"/>
      <c r="D416" s="120"/>
      <c r="E416" s="119"/>
      <c r="F416" s="119"/>
      <c r="G416" s="119"/>
      <c r="H416" s="119"/>
      <c r="I416" s="121"/>
    </row>
    <row r="417" spans="1:9" s="75" customFormat="1">
      <c r="A417" s="118"/>
      <c r="B417" s="119"/>
      <c r="C417" s="119"/>
      <c r="D417" s="120"/>
      <c r="E417" s="119"/>
      <c r="F417" s="119"/>
      <c r="G417" s="119"/>
      <c r="H417" s="119"/>
      <c r="I417" s="121"/>
    </row>
    <row r="418" spans="1:9" s="75" customFormat="1">
      <c r="A418" s="118"/>
      <c r="B418" s="119"/>
      <c r="C418" s="119"/>
      <c r="D418" s="120"/>
      <c r="E418" s="119"/>
      <c r="F418" s="119"/>
      <c r="G418" s="119"/>
      <c r="H418" s="119"/>
      <c r="I418" s="121"/>
    </row>
    <row r="419" spans="1:9" s="75" customFormat="1">
      <c r="A419" s="118"/>
      <c r="B419" s="119"/>
      <c r="C419" s="119"/>
      <c r="D419" s="120"/>
      <c r="E419" s="119"/>
      <c r="F419" s="119"/>
      <c r="G419" s="119"/>
      <c r="H419" s="119"/>
      <c r="I419" s="121"/>
    </row>
    <row r="420" spans="1:9" s="75" customFormat="1">
      <c r="A420" s="118"/>
      <c r="B420" s="119"/>
      <c r="C420" s="119"/>
      <c r="D420" s="120"/>
      <c r="E420" s="119"/>
      <c r="F420" s="119"/>
      <c r="G420" s="119"/>
      <c r="H420" s="119"/>
      <c r="I420" s="121"/>
    </row>
    <row r="421" spans="1:9" s="75" customFormat="1">
      <c r="A421" s="118"/>
      <c r="B421" s="119"/>
      <c r="C421" s="119"/>
      <c r="D421" s="120"/>
      <c r="E421" s="119"/>
      <c r="F421" s="119"/>
      <c r="G421" s="119"/>
      <c r="H421" s="119"/>
      <c r="I421" s="121"/>
    </row>
    <row r="422" spans="1:9" s="75" customFormat="1">
      <c r="A422" s="118"/>
      <c r="B422" s="119"/>
      <c r="C422" s="119"/>
      <c r="D422" s="120"/>
      <c r="E422" s="119"/>
      <c r="F422" s="119"/>
      <c r="G422" s="119"/>
      <c r="H422" s="119"/>
      <c r="I422" s="121"/>
    </row>
    <row r="423" spans="1:9" s="75" customFormat="1">
      <c r="A423" s="118"/>
      <c r="B423" s="119"/>
      <c r="C423" s="119"/>
      <c r="D423" s="120"/>
      <c r="E423" s="119"/>
      <c r="F423" s="119"/>
      <c r="G423" s="119"/>
      <c r="H423" s="119"/>
      <c r="I423" s="121"/>
    </row>
    <row r="424" spans="1:9" s="75" customFormat="1">
      <c r="A424" s="118"/>
      <c r="B424" s="119"/>
      <c r="C424" s="119"/>
      <c r="D424" s="120"/>
      <c r="E424" s="119"/>
      <c r="F424" s="119"/>
      <c r="G424" s="119"/>
      <c r="H424" s="119"/>
      <c r="I424" s="121"/>
    </row>
    <row r="425" spans="1:9" s="75" customFormat="1">
      <c r="A425" s="118"/>
      <c r="B425" s="119"/>
      <c r="C425" s="119"/>
      <c r="D425" s="120"/>
      <c r="E425" s="119"/>
      <c r="F425" s="119"/>
      <c r="G425" s="119"/>
      <c r="H425" s="119"/>
      <c r="I425" s="121"/>
    </row>
    <row r="426" spans="1:9" s="75" customFormat="1">
      <c r="A426" s="118"/>
      <c r="B426" s="119"/>
      <c r="C426" s="119"/>
      <c r="D426" s="120"/>
      <c r="E426" s="119"/>
      <c r="F426" s="119"/>
      <c r="G426" s="119"/>
      <c r="H426" s="119"/>
      <c r="I426" s="121"/>
    </row>
    <row r="427" spans="1:9" s="75" customFormat="1">
      <c r="A427" s="118"/>
      <c r="B427" s="119"/>
      <c r="C427" s="119"/>
      <c r="D427" s="120"/>
      <c r="E427" s="119"/>
      <c r="F427" s="119"/>
      <c r="G427" s="119"/>
      <c r="H427" s="119"/>
      <c r="I427" s="121"/>
    </row>
    <row r="428" spans="1:9" s="75" customFormat="1">
      <c r="A428" s="118"/>
      <c r="B428" s="119"/>
      <c r="C428" s="119"/>
      <c r="D428" s="120"/>
      <c r="E428" s="119"/>
      <c r="F428" s="119"/>
      <c r="G428" s="119"/>
      <c r="H428" s="119"/>
      <c r="I428" s="121"/>
    </row>
    <row r="429" spans="1:9" s="75" customFormat="1">
      <c r="A429" s="118"/>
      <c r="B429" s="119"/>
      <c r="C429" s="119"/>
      <c r="D429" s="120"/>
      <c r="E429" s="119"/>
      <c r="F429" s="119"/>
      <c r="G429" s="119"/>
      <c r="H429" s="119"/>
      <c r="I429" s="121"/>
    </row>
    <row r="430" spans="1:9" s="75" customFormat="1">
      <c r="A430" s="118"/>
      <c r="B430" s="119"/>
      <c r="C430" s="119"/>
      <c r="D430" s="120"/>
      <c r="E430" s="119"/>
      <c r="F430" s="119"/>
      <c r="G430" s="119"/>
      <c r="H430" s="119"/>
      <c r="I430" s="121"/>
    </row>
    <row r="431" spans="1:9" s="75" customFormat="1">
      <c r="A431" s="118"/>
      <c r="B431" s="119"/>
      <c r="C431" s="119"/>
      <c r="D431" s="120"/>
      <c r="E431" s="119"/>
      <c r="F431" s="119"/>
      <c r="G431" s="119"/>
      <c r="H431" s="119"/>
      <c r="I431" s="121"/>
    </row>
    <row r="432" spans="1:9" s="75" customFormat="1">
      <c r="A432" s="118"/>
      <c r="B432" s="119"/>
      <c r="C432" s="119"/>
      <c r="D432" s="120"/>
      <c r="E432" s="119"/>
      <c r="F432" s="119"/>
      <c r="G432" s="119"/>
      <c r="H432" s="119"/>
      <c r="I432" s="121"/>
    </row>
    <row r="433" spans="1:9" s="75" customFormat="1">
      <c r="A433" s="118"/>
      <c r="B433" s="119"/>
      <c r="C433" s="119"/>
      <c r="D433" s="120"/>
      <c r="E433" s="119"/>
      <c r="F433" s="119"/>
      <c r="G433" s="119"/>
      <c r="H433" s="119"/>
      <c r="I433" s="121"/>
    </row>
    <row r="434" spans="1:9" s="75" customFormat="1">
      <c r="A434" s="118"/>
      <c r="B434" s="119"/>
      <c r="C434" s="119"/>
      <c r="D434" s="120"/>
      <c r="E434" s="119"/>
      <c r="F434" s="119"/>
      <c r="G434" s="119"/>
      <c r="H434" s="119"/>
      <c r="I434" s="121"/>
    </row>
    <row r="435" spans="1:9" s="75" customFormat="1">
      <c r="A435" s="118"/>
      <c r="B435" s="119"/>
      <c r="C435" s="119"/>
      <c r="D435" s="120"/>
      <c r="E435" s="119"/>
      <c r="F435" s="119"/>
      <c r="G435" s="119"/>
      <c r="H435" s="119"/>
      <c r="I435" s="121"/>
    </row>
    <row r="436" spans="1:9" s="75" customFormat="1">
      <c r="A436" s="118"/>
      <c r="B436" s="119"/>
      <c r="C436" s="119"/>
      <c r="D436" s="120"/>
      <c r="E436" s="119"/>
      <c r="F436" s="119"/>
      <c r="G436" s="119"/>
      <c r="H436" s="119"/>
      <c r="I436" s="121"/>
    </row>
    <row r="437" spans="1:9" s="75" customFormat="1">
      <c r="A437" s="118"/>
      <c r="B437" s="119"/>
      <c r="C437" s="119"/>
      <c r="D437" s="120"/>
      <c r="E437" s="119"/>
      <c r="F437" s="119"/>
      <c r="G437" s="119"/>
      <c r="H437" s="119"/>
      <c r="I437" s="121"/>
    </row>
    <row r="438" spans="1:9" s="75" customFormat="1">
      <c r="A438" s="118"/>
      <c r="B438" s="119"/>
      <c r="C438" s="119"/>
      <c r="D438" s="120"/>
      <c r="E438" s="119"/>
      <c r="F438" s="119"/>
      <c r="G438" s="119"/>
      <c r="H438" s="119"/>
      <c r="I438" s="121"/>
    </row>
    <row r="439" spans="1:9" s="75" customFormat="1">
      <c r="A439" s="118"/>
      <c r="B439" s="119"/>
      <c r="C439" s="119"/>
      <c r="D439" s="120"/>
      <c r="E439" s="119"/>
      <c r="F439" s="119"/>
      <c r="G439" s="119"/>
      <c r="H439" s="119"/>
      <c r="I439" s="121"/>
    </row>
    <row r="440" spans="1:9" s="75" customFormat="1">
      <c r="A440" s="118"/>
      <c r="B440" s="119"/>
      <c r="C440" s="119"/>
      <c r="D440" s="120"/>
      <c r="E440" s="119"/>
      <c r="F440" s="119"/>
      <c r="G440" s="119"/>
      <c r="H440" s="119"/>
      <c r="I440" s="121"/>
    </row>
    <row r="441" spans="1:9" s="75" customFormat="1">
      <c r="A441" s="118"/>
      <c r="B441" s="119"/>
      <c r="C441" s="119"/>
      <c r="D441" s="120"/>
      <c r="E441" s="119"/>
      <c r="F441" s="119"/>
      <c r="G441" s="119"/>
      <c r="H441" s="119"/>
      <c r="I441" s="121"/>
    </row>
    <row r="442" spans="1:9" s="75" customFormat="1">
      <c r="A442" s="118"/>
      <c r="B442" s="119"/>
      <c r="C442" s="119"/>
      <c r="D442" s="120"/>
      <c r="E442" s="119"/>
      <c r="F442" s="119"/>
      <c r="G442" s="119"/>
      <c r="H442" s="119"/>
      <c r="I442" s="121"/>
    </row>
    <row r="443" spans="1:9" s="75" customFormat="1">
      <c r="A443" s="118"/>
      <c r="B443" s="119"/>
      <c r="C443" s="119"/>
      <c r="D443" s="120"/>
      <c r="E443" s="119"/>
      <c r="F443" s="119"/>
      <c r="G443" s="119"/>
      <c r="H443" s="119"/>
      <c r="I443" s="121"/>
    </row>
    <row r="444" spans="1:9" s="75" customFormat="1">
      <c r="A444" s="118"/>
      <c r="B444" s="119"/>
      <c r="C444" s="119"/>
      <c r="D444" s="120"/>
      <c r="E444" s="119"/>
      <c r="F444" s="119"/>
      <c r="G444" s="119"/>
      <c r="H444" s="119"/>
      <c r="I444" s="121"/>
    </row>
    <row r="445" spans="1:9" s="75" customFormat="1">
      <c r="A445" s="118"/>
      <c r="B445" s="119"/>
      <c r="C445" s="119"/>
      <c r="D445" s="120"/>
      <c r="E445" s="119"/>
      <c r="F445" s="119"/>
      <c r="G445" s="119"/>
      <c r="H445" s="119"/>
      <c r="I445" s="121"/>
    </row>
    <row r="446" spans="1:9" s="75" customFormat="1">
      <c r="A446" s="118"/>
      <c r="B446" s="119"/>
      <c r="C446" s="119"/>
      <c r="D446" s="120"/>
      <c r="E446" s="119"/>
      <c r="F446" s="119"/>
      <c r="G446" s="119"/>
      <c r="H446" s="119"/>
      <c r="I446" s="121"/>
    </row>
    <row r="447" spans="1:9" s="75" customFormat="1">
      <c r="A447" s="118"/>
      <c r="B447" s="119"/>
      <c r="C447" s="119"/>
      <c r="D447" s="120"/>
      <c r="E447" s="119"/>
      <c r="F447" s="119"/>
      <c r="G447" s="119"/>
      <c r="H447" s="119"/>
      <c r="I447" s="121"/>
    </row>
    <row r="448" spans="1:9" s="75" customFormat="1">
      <c r="A448" s="118"/>
      <c r="B448" s="119"/>
      <c r="C448" s="119"/>
      <c r="D448" s="120"/>
      <c r="E448" s="119"/>
      <c r="F448" s="119"/>
      <c r="G448" s="119"/>
      <c r="H448" s="119"/>
      <c r="I448" s="121"/>
    </row>
    <row r="449" spans="1:9" s="75" customFormat="1">
      <c r="A449" s="118"/>
      <c r="B449" s="119"/>
      <c r="C449" s="119"/>
      <c r="D449" s="120"/>
      <c r="E449" s="119"/>
      <c r="F449" s="119"/>
      <c r="G449" s="119"/>
      <c r="H449" s="119"/>
      <c r="I449" s="121"/>
    </row>
    <row r="450" spans="1:9" s="75" customFormat="1">
      <c r="A450" s="118"/>
      <c r="B450" s="119"/>
      <c r="C450" s="119"/>
      <c r="D450" s="120"/>
      <c r="E450" s="119"/>
      <c r="F450" s="119"/>
      <c r="G450" s="119"/>
      <c r="H450" s="119"/>
      <c r="I450" s="121"/>
    </row>
    <row r="451" spans="1:9" s="75" customFormat="1">
      <c r="A451" s="118"/>
      <c r="B451" s="119"/>
      <c r="C451" s="119"/>
      <c r="D451" s="120"/>
      <c r="E451" s="119"/>
      <c r="F451" s="119"/>
      <c r="G451" s="119"/>
      <c r="H451" s="119"/>
      <c r="I451" s="121"/>
    </row>
    <row r="452" spans="1:9" s="75" customFormat="1">
      <c r="A452" s="118"/>
      <c r="B452" s="119"/>
      <c r="C452" s="119"/>
      <c r="D452" s="120"/>
      <c r="E452" s="119"/>
      <c r="F452" s="119"/>
      <c r="G452" s="119"/>
      <c r="H452" s="119"/>
      <c r="I452" s="121"/>
    </row>
    <row r="453" spans="1:9" s="75" customFormat="1">
      <c r="A453" s="118"/>
      <c r="B453" s="119"/>
      <c r="C453" s="119"/>
      <c r="D453" s="120"/>
      <c r="E453" s="119"/>
      <c r="F453" s="119"/>
      <c r="G453" s="119"/>
      <c r="H453" s="119"/>
      <c r="I453" s="121"/>
    </row>
    <row r="454" spans="1:9" s="75" customFormat="1">
      <c r="A454" s="118"/>
      <c r="B454" s="119"/>
      <c r="C454" s="119"/>
      <c r="D454" s="120"/>
      <c r="E454" s="119"/>
      <c r="F454" s="119"/>
      <c r="G454" s="119"/>
      <c r="H454" s="119"/>
      <c r="I454" s="121"/>
    </row>
    <row r="455" spans="1:9" s="75" customFormat="1">
      <c r="A455" s="118"/>
      <c r="B455" s="119"/>
      <c r="C455" s="119"/>
      <c r="D455" s="120"/>
      <c r="E455" s="119"/>
      <c r="F455" s="119"/>
      <c r="G455" s="119"/>
      <c r="H455" s="119"/>
      <c r="I455" s="121"/>
    </row>
    <row r="456" spans="1:9" s="75" customFormat="1">
      <c r="A456" s="118"/>
      <c r="B456" s="119"/>
      <c r="C456" s="119"/>
      <c r="D456" s="120"/>
      <c r="E456" s="119"/>
      <c r="F456" s="119"/>
      <c r="G456" s="119"/>
      <c r="H456" s="119"/>
      <c r="I456" s="121"/>
    </row>
    <row r="457" spans="1:9" s="75" customFormat="1">
      <c r="A457" s="118"/>
      <c r="B457" s="119"/>
      <c r="C457" s="119"/>
      <c r="D457" s="120"/>
      <c r="E457" s="119"/>
      <c r="F457" s="119"/>
      <c r="G457" s="119"/>
      <c r="H457" s="119"/>
      <c r="I457" s="121"/>
    </row>
    <row r="458" spans="1:9" s="75" customFormat="1">
      <c r="A458" s="118"/>
      <c r="B458" s="119"/>
      <c r="C458" s="119"/>
      <c r="D458" s="120"/>
      <c r="E458" s="119"/>
      <c r="F458" s="119"/>
      <c r="G458" s="119"/>
      <c r="H458" s="119"/>
      <c r="I458" s="121"/>
    </row>
    <row r="459" spans="1:9" s="75" customFormat="1">
      <c r="A459" s="118"/>
      <c r="B459" s="119"/>
      <c r="C459" s="119"/>
      <c r="D459" s="120"/>
      <c r="E459" s="119"/>
      <c r="F459" s="119"/>
      <c r="G459" s="119"/>
      <c r="H459" s="119"/>
      <c r="I459" s="121"/>
    </row>
    <row r="460" spans="1:9" s="75" customFormat="1">
      <c r="A460" s="118"/>
      <c r="B460" s="119"/>
      <c r="C460" s="119"/>
      <c r="D460" s="120"/>
      <c r="E460" s="119"/>
      <c r="F460" s="119"/>
      <c r="G460" s="119"/>
      <c r="H460" s="119"/>
      <c r="I460" s="121"/>
    </row>
    <row r="461" spans="1:9" s="75" customFormat="1">
      <c r="A461" s="118"/>
      <c r="B461" s="119"/>
      <c r="C461" s="119"/>
      <c r="D461" s="120"/>
      <c r="E461" s="119"/>
      <c r="F461" s="119"/>
      <c r="G461" s="119"/>
      <c r="H461" s="119"/>
      <c r="I461" s="121"/>
    </row>
    <row r="462" spans="1:9" s="75" customFormat="1">
      <c r="A462" s="118"/>
      <c r="B462" s="119"/>
      <c r="C462" s="119"/>
      <c r="D462" s="120"/>
      <c r="E462" s="119"/>
      <c r="F462" s="119"/>
      <c r="G462" s="119"/>
      <c r="H462" s="119"/>
      <c r="I462" s="121"/>
    </row>
    <row r="463" spans="1:9" s="75" customFormat="1">
      <c r="A463" s="118"/>
      <c r="B463" s="119"/>
      <c r="C463" s="119"/>
      <c r="D463" s="120"/>
      <c r="E463" s="119"/>
      <c r="F463" s="119"/>
      <c r="G463" s="119"/>
      <c r="H463" s="119"/>
      <c r="I463" s="121"/>
    </row>
    <row r="464" spans="1:9" s="75" customFormat="1">
      <c r="A464" s="118"/>
      <c r="B464" s="119"/>
      <c r="C464" s="119"/>
      <c r="D464" s="120"/>
      <c r="E464" s="119"/>
      <c r="F464" s="119"/>
      <c r="G464" s="119"/>
      <c r="H464" s="119"/>
      <c r="I464" s="121"/>
    </row>
    <row r="465" spans="1:9" s="75" customFormat="1">
      <c r="A465" s="118"/>
      <c r="B465" s="119"/>
      <c r="C465" s="119"/>
      <c r="D465" s="120"/>
      <c r="E465" s="119"/>
      <c r="F465" s="119"/>
      <c r="G465" s="119"/>
      <c r="H465" s="119"/>
      <c r="I465" s="121"/>
    </row>
    <row r="466" spans="1:9" s="75" customFormat="1">
      <c r="A466" s="118"/>
      <c r="B466" s="119"/>
      <c r="C466" s="119"/>
      <c r="D466" s="120"/>
      <c r="E466" s="119"/>
      <c r="F466" s="119"/>
      <c r="G466" s="119"/>
      <c r="H466" s="119"/>
      <c r="I466" s="121"/>
    </row>
    <row r="467" spans="1:9" s="75" customFormat="1">
      <c r="A467" s="118"/>
      <c r="B467" s="119"/>
      <c r="C467" s="119"/>
      <c r="D467" s="120"/>
      <c r="E467" s="119"/>
      <c r="F467" s="119"/>
      <c r="G467" s="119"/>
      <c r="H467" s="119"/>
      <c r="I467" s="121"/>
    </row>
    <row r="468" spans="1:9" s="75" customFormat="1">
      <c r="A468" s="118"/>
      <c r="B468" s="119"/>
      <c r="C468" s="119"/>
      <c r="D468" s="120"/>
      <c r="E468" s="119"/>
      <c r="F468" s="119"/>
      <c r="G468" s="119"/>
      <c r="H468" s="119"/>
      <c r="I468" s="121"/>
    </row>
    <row r="469" spans="1:9" s="75" customFormat="1">
      <c r="A469" s="118"/>
      <c r="B469" s="119"/>
      <c r="C469" s="119"/>
      <c r="D469" s="120"/>
      <c r="E469" s="119"/>
      <c r="F469" s="119"/>
      <c r="G469" s="119"/>
      <c r="H469" s="119"/>
      <c r="I469" s="121"/>
    </row>
    <row r="470" spans="1:9" s="75" customFormat="1">
      <c r="A470" s="118"/>
      <c r="B470" s="119"/>
      <c r="C470" s="119"/>
      <c r="D470" s="120"/>
      <c r="E470" s="119"/>
      <c r="F470" s="119"/>
      <c r="G470" s="119"/>
      <c r="H470" s="119"/>
      <c r="I470" s="121"/>
    </row>
    <row r="471" spans="1:9" s="75" customFormat="1">
      <c r="A471" s="118"/>
      <c r="B471" s="119"/>
      <c r="C471" s="119"/>
      <c r="D471" s="120"/>
      <c r="E471" s="119"/>
      <c r="F471" s="119"/>
      <c r="G471" s="119"/>
      <c r="H471" s="119"/>
      <c r="I471" s="121"/>
    </row>
    <row r="472" spans="1:9" s="75" customFormat="1">
      <c r="A472" s="118"/>
      <c r="B472" s="119"/>
      <c r="C472" s="119"/>
      <c r="D472" s="120"/>
      <c r="E472" s="119"/>
      <c r="F472" s="119"/>
      <c r="G472" s="119"/>
      <c r="H472" s="119"/>
      <c r="I472" s="121"/>
    </row>
    <row r="473" spans="1:9" s="75" customFormat="1">
      <c r="A473" s="118"/>
      <c r="B473" s="119"/>
      <c r="C473" s="119"/>
      <c r="D473" s="120"/>
      <c r="E473" s="119"/>
      <c r="F473" s="119"/>
      <c r="G473" s="119"/>
      <c r="H473" s="119"/>
      <c r="I473" s="121"/>
    </row>
    <row r="474" spans="1:9" s="75" customFormat="1">
      <c r="A474" s="118"/>
      <c r="B474" s="119"/>
      <c r="C474" s="119"/>
      <c r="D474" s="120"/>
      <c r="E474" s="119"/>
      <c r="F474" s="119"/>
      <c r="G474" s="119"/>
      <c r="H474" s="119"/>
      <c r="I474" s="121"/>
    </row>
    <row r="475" spans="1:9" s="75" customFormat="1">
      <c r="A475" s="118"/>
      <c r="B475" s="119"/>
      <c r="C475" s="119"/>
      <c r="D475" s="120"/>
      <c r="E475" s="119"/>
      <c r="F475" s="119"/>
      <c r="G475" s="119"/>
      <c r="H475" s="119"/>
      <c r="I475" s="121"/>
    </row>
    <row r="476" spans="1:9" s="75" customFormat="1">
      <c r="A476" s="118"/>
      <c r="B476" s="119"/>
      <c r="C476" s="119"/>
      <c r="D476" s="120"/>
      <c r="E476" s="119"/>
      <c r="F476" s="119"/>
      <c r="G476" s="119"/>
      <c r="H476" s="119"/>
      <c r="I476" s="121"/>
    </row>
    <row r="477" spans="1:9" s="75" customFormat="1">
      <c r="A477" s="118"/>
      <c r="B477" s="119"/>
      <c r="C477" s="119"/>
      <c r="D477" s="120"/>
      <c r="E477" s="119"/>
      <c r="F477" s="119"/>
      <c r="G477" s="119"/>
      <c r="H477" s="119"/>
      <c r="I477" s="121"/>
    </row>
    <row r="478" spans="1:9" s="75" customFormat="1">
      <c r="A478" s="118"/>
      <c r="B478" s="119"/>
      <c r="C478" s="119"/>
      <c r="D478" s="120"/>
      <c r="E478" s="119"/>
      <c r="F478" s="119"/>
      <c r="G478" s="119"/>
      <c r="H478" s="119"/>
      <c r="I478" s="121"/>
    </row>
    <row r="479" spans="1:9" s="75" customFormat="1">
      <c r="A479" s="118"/>
      <c r="B479" s="119"/>
      <c r="C479" s="119"/>
      <c r="D479" s="120"/>
      <c r="E479" s="119"/>
      <c r="F479" s="119"/>
      <c r="G479" s="119"/>
      <c r="H479" s="119"/>
      <c r="I479" s="121"/>
    </row>
    <row r="480" spans="1:9" s="75" customFormat="1">
      <c r="A480" s="118"/>
      <c r="B480" s="119"/>
      <c r="C480" s="119"/>
      <c r="D480" s="120"/>
      <c r="E480" s="119"/>
      <c r="F480" s="119"/>
      <c r="G480" s="119"/>
      <c r="H480" s="119"/>
      <c r="I480" s="121"/>
    </row>
    <row r="481" spans="1:9" s="75" customFormat="1">
      <c r="A481" s="118"/>
      <c r="B481" s="119"/>
      <c r="C481" s="119"/>
      <c r="D481" s="120"/>
      <c r="E481" s="119"/>
      <c r="F481" s="119"/>
      <c r="G481" s="119"/>
      <c r="H481" s="119"/>
      <c r="I481" s="121"/>
    </row>
    <row r="482" spans="1:9" s="75" customFormat="1">
      <c r="A482" s="118"/>
      <c r="B482" s="119"/>
      <c r="C482" s="119"/>
      <c r="D482" s="120"/>
      <c r="E482" s="119"/>
      <c r="F482" s="119"/>
      <c r="G482" s="119"/>
      <c r="H482" s="119"/>
      <c r="I482" s="121"/>
    </row>
    <row r="483" spans="1:9" s="75" customFormat="1">
      <c r="A483" s="118"/>
      <c r="B483" s="119"/>
      <c r="C483" s="119"/>
      <c r="D483" s="120"/>
      <c r="E483" s="119"/>
      <c r="F483" s="119"/>
      <c r="G483" s="119"/>
      <c r="H483" s="119"/>
      <c r="I483" s="121"/>
    </row>
    <row r="484" spans="1:9" s="75" customFormat="1">
      <c r="A484" s="118"/>
      <c r="B484" s="119"/>
      <c r="C484" s="119"/>
      <c r="D484" s="120"/>
      <c r="E484" s="119"/>
      <c r="F484" s="119"/>
      <c r="G484" s="119"/>
      <c r="H484" s="119"/>
      <c r="I484" s="121"/>
    </row>
    <row r="485" spans="1:9" s="75" customFormat="1">
      <c r="A485" s="118"/>
      <c r="B485" s="119"/>
      <c r="C485" s="119"/>
      <c r="D485" s="120"/>
      <c r="E485" s="119"/>
      <c r="F485" s="119"/>
      <c r="G485" s="119"/>
      <c r="H485" s="119"/>
      <c r="I485" s="121"/>
    </row>
    <row r="486" spans="1:9" s="75" customFormat="1">
      <c r="A486" s="118"/>
      <c r="B486" s="119"/>
      <c r="C486" s="119"/>
      <c r="D486" s="120"/>
      <c r="E486" s="119"/>
      <c r="F486" s="119"/>
      <c r="G486" s="119"/>
      <c r="H486" s="119"/>
      <c r="I486" s="121"/>
    </row>
    <row r="487" spans="1:9" s="75" customFormat="1">
      <c r="A487" s="118"/>
      <c r="B487" s="119"/>
      <c r="C487" s="119"/>
      <c r="D487" s="120"/>
      <c r="E487" s="119"/>
      <c r="F487" s="119"/>
      <c r="G487" s="119"/>
      <c r="H487" s="119"/>
      <c r="I487" s="121"/>
    </row>
    <row r="488" spans="1:9" s="75" customFormat="1">
      <c r="A488" s="118"/>
      <c r="B488" s="119"/>
      <c r="C488" s="119"/>
      <c r="D488" s="120"/>
      <c r="E488" s="119"/>
      <c r="F488" s="119"/>
      <c r="G488" s="119"/>
      <c r="H488" s="119"/>
      <c r="I488" s="121"/>
    </row>
    <row r="489" spans="1:9" s="75" customFormat="1">
      <c r="A489" s="118"/>
      <c r="B489" s="119"/>
      <c r="C489" s="119"/>
      <c r="D489" s="120"/>
      <c r="E489" s="119"/>
      <c r="F489" s="119"/>
      <c r="G489" s="119"/>
      <c r="H489" s="119"/>
      <c r="I489" s="121"/>
    </row>
    <row r="490" spans="1:9" s="75" customFormat="1">
      <c r="A490" s="118"/>
      <c r="B490" s="119"/>
      <c r="C490" s="119"/>
      <c r="D490" s="120"/>
      <c r="E490" s="119"/>
      <c r="F490" s="119"/>
      <c r="G490" s="119"/>
      <c r="H490" s="119"/>
      <c r="I490" s="121"/>
    </row>
    <row r="491" spans="1:9" s="75" customFormat="1">
      <c r="A491" s="118"/>
      <c r="B491" s="119"/>
      <c r="C491" s="119"/>
      <c r="D491" s="120"/>
      <c r="E491" s="119"/>
      <c r="F491" s="119"/>
      <c r="G491" s="119"/>
      <c r="H491" s="119"/>
      <c r="I491" s="121"/>
    </row>
    <row r="492" spans="1:9" s="75" customFormat="1">
      <c r="A492" s="118"/>
      <c r="B492" s="119"/>
      <c r="C492" s="119"/>
      <c r="D492" s="120"/>
      <c r="E492" s="119"/>
      <c r="F492" s="119"/>
      <c r="G492" s="119"/>
      <c r="H492" s="119"/>
      <c r="I492" s="121"/>
    </row>
    <row r="493" spans="1:9" s="75" customFormat="1">
      <c r="A493" s="118"/>
      <c r="B493" s="119"/>
      <c r="C493" s="119"/>
      <c r="D493" s="120"/>
      <c r="E493" s="119"/>
      <c r="F493" s="119"/>
      <c r="G493" s="119"/>
      <c r="H493" s="119"/>
      <c r="I493" s="121"/>
    </row>
    <row r="494" spans="1:9" s="75" customFormat="1">
      <c r="A494" s="118"/>
      <c r="B494" s="119"/>
      <c r="C494" s="119"/>
      <c r="D494" s="120"/>
      <c r="E494" s="119"/>
      <c r="F494" s="119"/>
      <c r="G494" s="119"/>
      <c r="H494" s="119"/>
      <c r="I494" s="121"/>
    </row>
    <row r="495" spans="1:9" s="75" customFormat="1">
      <c r="A495" s="118"/>
      <c r="B495" s="119"/>
      <c r="C495" s="119"/>
      <c r="D495" s="120"/>
      <c r="E495" s="119"/>
      <c r="F495" s="119"/>
      <c r="G495" s="119"/>
      <c r="H495" s="119"/>
      <c r="I495" s="121"/>
    </row>
    <row r="496" spans="1:9" s="75" customFormat="1">
      <c r="A496" s="118"/>
      <c r="B496" s="119"/>
      <c r="C496" s="119"/>
      <c r="D496" s="120"/>
      <c r="E496" s="119"/>
      <c r="F496" s="119"/>
      <c r="G496" s="119"/>
      <c r="H496" s="119"/>
      <c r="I496" s="121"/>
    </row>
    <row r="497" spans="1:9" s="75" customFormat="1">
      <c r="A497" s="118"/>
      <c r="B497" s="119"/>
      <c r="C497" s="119"/>
      <c r="D497" s="120"/>
      <c r="E497" s="119"/>
      <c r="F497" s="119"/>
      <c r="G497" s="119"/>
      <c r="H497" s="119"/>
      <c r="I497" s="121"/>
    </row>
    <row r="498" spans="1:9" s="75" customFormat="1">
      <c r="A498" s="118"/>
      <c r="B498" s="119"/>
      <c r="C498" s="119"/>
      <c r="D498" s="120"/>
      <c r="E498" s="119"/>
      <c r="F498" s="119"/>
      <c r="G498" s="119"/>
      <c r="H498" s="119"/>
      <c r="I498" s="121"/>
    </row>
    <row r="499" spans="1:9" s="75" customFormat="1">
      <c r="A499" s="118"/>
      <c r="B499" s="119"/>
      <c r="C499" s="119"/>
      <c r="D499" s="120"/>
      <c r="E499" s="119"/>
      <c r="F499" s="119"/>
      <c r="G499" s="119"/>
      <c r="H499" s="119"/>
      <c r="I499" s="121"/>
    </row>
    <row r="500" spans="1:9" s="75" customFormat="1">
      <c r="A500" s="118"/>
      <c r="B500" s="119"/>
      <c r="C500" s="119"/>
      <c r="D500" s="120"/>
      <c r="E500" s="119"/>
      <c r="F500" s="119"/>
      <c r="G500" s="119"/>
      <c r="H500" s="119"/>
      <c r="I500" s="121"/>
    </row>
    <row r="501" spans="1:9" s="75" customFormat="1">
      <c r="A501" s="118"/>
      <c r="B501" s="119"/>
      <c r="C501" s="119"/>
      <c r="D501" s="120"/>
      <c r="E501" s="119"/>
      <c r="F501" s="119"/>
      <c r="G501" s="119"/>
      <c r="H501" s="119"/>
      <c r="I501" s="121"/>
    </row>
    <row r="502" spans="1:9" s="75" customFormat="1">
      <c r="A502" s="118"/>
      <c r="B502" s="119"/>
      <c r="C502" s="119"/>
      <c r="D502" s="120"/>
      <c r="E502" s="119"/>
      <c r="F502" s="119"/>
      <c r="G502" s="119"/>
      <c r="H502" s="119"/>
      <c r="I502" s="121"/>
    </row>
    <row r="503" spans="1:9" s="75" customFormat="1">
      <c r="A503" s="118"/>
      <c r="B503" s="119"/>
      <c r="C503" s="119"/>
      <c r="D503" s="120"/>
      <c r="E503" s="119"/>
      <c r="F503" s="119"/>
      <c r="G503" s="119"/>
      <c r="H503" s="119"/>
      <c r="I503" s="121"/>
    </row>
    <row r="504" spans="1:9" s="75" customFormat="1">
      <c r="A504" s="118"/>
      <c r="B504" s="119"/>
      <c r="C504" s="119"/>
      <c r="D504" s="120"/>
      <c r="E504" s="119"/>
      <c r="F504" s="119"/>
      <c r="G504" s="119"/>
      <c r="H504" s="119"/>
      <c r="I504" s="121"/>
    </row>
    <row r="505" spans="1:9" s="75" customFormat="1">
      <c r="A505" s="118"/>
      <c r="B505" s="119"/>
      <c r="C505" s="119"/>
      <c r="D505" s="120"/>
      <c r="E505" s="119"/>
      <c r="F505" s="119"/>
      <c r="G505" s="119"/>
      <c r="H505" s="119"/>
      <c r="I505" s="121"/>
    </row>
    <row r="506" spans="1:9" s="75" customFormat="1">
      <c r="A506" s="118"/>
      <c r="B506" s="119"/>
      <c r="C506" s="119"/>
      <c r="D506" s="120"/>
      <c r="E506" s="119"/>
      <c r="F506" s="119"/>
      <c r="G506" s="119"/>
      <c r="H506" s="119"/>
      <c r="I506" s="121"/>
    </row>
    <row r="507" spans="1:9" s="75" customFormat="1">
      <c r="A507" s="118"/>
      <c r="B507" s="119"/>
      <c r="C507" s="119"/>
      <c r="D507" s="120"/>
      <c r="E507" s="119"/>
      <c r="F507" s="119"/>
      <c r="G507" s="119"/>
      <c r="H507" s="119"/>
      <c r="I507" s="121"/>
    </row>
    <row r="508" spans="1:9" s="75" customFormat="1">
      <c r="A508" s="118"/>
      <c r="B508" s="119"/>
      <c r="C508" s="119"/>
      <c r="D508" s="120"/>
      <c r="E508" s="119"/>
      <c r="F508" s="119"/>
      <c r="G508" s="119"/>
      <c r="H508" s="119"/>
      <c r="I508" s="121"/>
    </row>
    <row r="509" spans="1:9" s="75" customFormat="1">
      <c r="A509" s="118"/>
      <c r="B509" s="119"/>
      <c r="C509" s="119"/>
      <c r="D509" s="120"/>
      <c r="E509" s="119"/>
      <c r="F509" s="119"/>
      <c r="G509" s="119"/>
      <c r="H509" s="119"/>
      <c r="I509" s="121"/>
    </row>
    <row r="510" spans="1:9" s="75" customFormat="1">
      <c r="A510" s="118"/>
      <c r="B510" s="119"/>
      <c r="C510" s="119"/>
      <c r="D510" s="120"/>
      <c r="E510" s="119"/>
      <c r="F510" s="119"/>
      <c r="G510" s="119"/>
      <c r="H510" s="119"/>
      <c r="I510" s="121"/>
    </row>
    <row r="511" spans="1:9" s="75" customFormat="1">
      <c r="A511" s="118"/>
      <c r="B511" s="119"/>
      <c r="C511" s="119"/>
      <c r="D511" s="120"/>
      <c r="E511" s="119"/>
      <c r="F511" s="119"/>
      <c r="G511" s="119"/>
      <c r="H511" s="119"/>
      <c r="I511" s="121"/>
    </row>
    <row r="512" spans="1:9" s="75" customFormat="1">
      <c r="A512" s="118"/>
      <c r="B512" s="119"/>
      <c r="C512" s="119"/>
      <c r="D512" s="120"/>
      <c r="E512" s="119"/>
      <c r="F512" s="119"/>
      <c r="G512" s="119"/>
      <c r="H512" s="119"/>
      <c r="I512" s="121"/>
    </row>
    <row r="513" spans="1:9" s="75" customFormat="1">
      <c r="A513" s="118"/>
      <c r="B513" s="119"/>
      <c r="C513" s="119"/>
      <c r="D513" s="120"/>
      <c r="E513" s="119"/>
      <c r="F513" s="119"/>
      <c r="G513" s="119"/>
      <c r="H513" s="119"/>
      <c r="I513" s="121"/>
    </row>
    <row r="514" spans="1:9" s="75" customFormat="1">
      <c r="A514" s="118"/>
      <c r="B514" s="119"/>
      <c r="C514" s="119"/>
      <c r="D514" s="120"/>
      <c r="E514" s="119"/>
      <c r="F514" s="119"/>
      <c r="G514" s="119"/>
      <c r="H514" s="119"/>
      <c r="I514" s="121"/>
    </row>
    <row r="515" spans="1:9" s="75" customFormat="1">
      <c r="A515" s="118"/>
      <c r="B515" s="119"/>
      <c r="C515" s="119"/>
      <c r="D515" s="120"/>
      <c r="E515" s="119"/>
      <c r="F515" s="119"/>
      <c r="G515" s="119"/>
      <c r="H515" s="119"/>
      <c r="I515" s="121"/>
    </row>
    <row r="516" spans="1:9" s="75" customFormat="1">
      <c r="A516" s="118"/>
      <c r="B516" s="119"/>
      <c r="C516" s="119"/>
      <c r="D516" s="120"/>
      <c r="E516" s="119"/>
      <c r="F516" s="119"/>
      <c r="G516" s="119"/>
      <c r="H516" s="119"/>
      <c r="I516" s="121"/>
    </row>
    <row r="517" spans="1:9" s="75" customFormat="1">
      <c r="A517" s="118"/>
      <c r="B517" s="119"/>
      <c r="C517" s="119"/>
      <c r="D517" s="120"/>
      <c r="E517" s="119"/>
      <c r="F517" s="119"/>
      <c r="G517" s="119"/>
      <c r="H517" s="119"/>
      <c r="I517" s="121"/>
    </row>
    <row r="518" spans="1:9" s="75" customFormat="1">
      <c r="A518" s="118"/>
      <c r="B518" s="119"/>
      <c r="C518" s="119"/>
      <c r="D518" s="120"/>
      <c r="E518" s="119"/>
      <c r="F518" s="119"/>
      <c r="G518" s="119"/>
      <c r="H518" s="119"/>
      <c r="I518" s="121"/>
    </row>
    <row r="519" spans="1:9" s="75" customFormat="1">
      <c r="A519" s="118"/>
      <c r="B519" s="119"/>
      <c r="C519" s="119"/>
      <c r="D519" s="120"/>
      <c r="E519" s="119"/>
      <c r="F519" s="119"/>
      <c r="G519" s="119"/>
      <c r="H519" s="119"/>
      <c r="I519" s="121"/>
    </row>
    <row r="520" spans="1:9" s="75" customFormat="1">
      <c r="A520" s="118"/>
      <c r="B520" s="119"/>
      <c r="C520" s="119"/>
      <c r="D520" s="120"/>
      <c r="E520" s="119"/>
      <c r="F520" s="119"/>
      <c r="G520" s="119"/>
      <c r="H520" s="119"/>
      <c r="I520" s="121"/>
    </row>
    <row r="521" spans="1:9" s="75" customFormat="1">
      <c r="A521" s="118"/>
      <c r="B521" s="119"/>
      <c r="C521" s="119"/>
      <c r="D521" s="120"/>
      <c r="E521" s="119"/>
      <c r="F521" s="119"/>
      <c r="G521" s="119"/>
      <c r="H521" s="119"/>
      <c r="I521" s="121"/>
    </row>
    <row r="522" spans="1:9" s="75" customFormat="1">
      <c r="A522" s="118"/>
      <c r="B522" s="119"/>
      <c r="C522" s="119"/>
      <c r="D522" s="120"/>
      <c r="E522" s="119"/>
      <c r="F522" s="119"/>
      <c r="G522" s="119"/>
      <c r="H522" s="119"/>
      <c r="I522" s="121"/>
    </row>
    <row r="523" spans="1:9" s="75" customFormat="1">
      <c r="A523" s="118"/>
      <c r="B523" s="119"/>
      <c r="C523" s="119"/>
      <c r="D523" s="120"/>
      <c r="E523" s="119"/>
      <c r="F523" s="119"/>
      <c r="G523" s="119"/>
      <c r="H523" s="119"/>
      <c r="I523" s="121"/>
    </row>
    <row r="524" spans="1:9" s="75" customFormat="1">
      <c r="A524" s="118"/>
      <c r="B524" s="119"/>
      <c r="C524" s="119"/>
      <c r="D524" s="120"/>
      <c r="E524" s="119"/>
      <c r="F524" s="119"/>
      <c r="G524" s="119"/>
      <c r="H524" s="119"/>
      <c r="I524" s="121"/>
    </row>
    <row r="525" spans="1:9" s="75" customFormat="1">
      <c r="A525" s="118"/>
      <c r="B525" s="119"/>
      <c r="C525" s="119"/>
      <c r="D525" s="120"/>
      <c r="E525" s="119"/>
      <c r="F525" s="119"/>
      <c r="G525" s="119"/>
      <c r="H525" s="119"/>
      <c r="I525" s="121"/>
    </row>
    <row r="526" spans="1:9" s="75" customFormat="1">
      <c r="A526" s="118"/>
      <c r="B526" s="119"/>
      <c r="C526" s="119"/>
      <c r="D526" s="120"/>
      <c r="E526" s="119"/>
      <c r="F526" s="119"/>
      <c r="G526" s="119"/>
      <c r="H526" s="119"/>
      <c r="I526" s="121"/>
    </row>
    <row r="527" spans="1:9" s="75" customFormat="1">
      <c r="A527" s="118"/>
      <c r="B527" s="119"/>
      <c r="C527" s="119"/>
      <c r="D527" s="120"/>
      <c r="E527" s="119"/>
      <c r="F527" s="119"/>
      <c r="G527" s="119"/>
      <c r="H527" s="119"/>
      <c r="I527" s="121"/>
    </row>
    <row r="528" spans="1:9" s="75" customFormat="1">
      <c r="A528" s="118"/>
      <c r="B528" s="119"/>
      <c r="C528" s="119"/>
      <c r="D528" s="120"/>
      <c r="E528" s="119"/>
      <c r="F528" s="119"/>
      <c r="G528" s="119"/>
      <c r="H528" s="119"/>
      <c r="I528" s="121"/>
    </row>
    <row r="529" spans="1:9" s="75" customFormat="1">
      <c r="A529" s="118"/>
      <c r="B529" s="119"/>
      <c r="C529" s="119"/>
      <c r="D529" s="120"/>
      <c r="E529" s="119"/>
      <c r="F529" s="119"/>
      <c r="G529" s="119"/>
      <c r="H529" s="119"/>
      <c r="I529" s="121"/>
    </row>
    <row r="530" spans="1:9" s="75" customFormat="1">
      <c r="A530" s="118"/>
      <c r="B530" s="119"/>
      <c r="C530" s="119"/>
      <c r="D530" s="120"/>
      <c r="E530" s="119"/>
      <c r="F530" s="119"/>
      <c r="G530" s="119"/>
      <c r="H530" s="119"/>
      <c r="I530" s="121"/>
    </row>
    <row r="531" spans="1:9" s="75" customFormat="1">
      <c r="A531" s="118"/>
      <c r="B531" s="119"/>
      <c r="C531" s="119"/>
      <c r="D531" s="120"/>
      <c r="E531" s="119"/>
      <c r="F531" s="119"/>
      <c r="G531" s="119"/>
      <c r="H531" s="119"/>
      <c r="I531" s="121"/>
    </row>
    <row r="532" spans="1:9" s="75" customFormat="1">
      <c r="A532" s="118"/>
      <c r="B532" s="119"/>
      <c r="C532" s="119"/>
      <c r="D532" s="120"/>
      <c r="E532" s="119"/>
      <c r="F532" s="119"/>
      <c r="G532" s="119"/>
      <c r="H532" s="119"/>
      <c r="I532" s="121"/>
    </row>
    <row r="533" spans="1:9" s="75" customFormat="1">
      <c r="A533" s="118"/>
      <c r="B533" s="119"/>
      <c r="C533" s="119"/>
      <c r="D533" s="120"/>
      <c r="E533" s="119"/>
      <c r="F533" s="119"/>
      <c r="G533" s="119"/>
      <c r="H533" s="119"/>
      <c r="I533" s="121"/>
    </row>
    <row r="534" spans="1:9" s="75" customFormat="1">
      <c r="A534" s="118"/>
      <c r="B534" s="119"/>
      <c r="C534" s="119"/>
      <c r="D534" s="120"/>
      <c r="E534" s="119"/>
      <c r="F534" s="119"/>
      <c r="G534" s="119"/>
      <c r="H534" s="119"/>
      <c r="I534" s="121"/>
    </row>
    <row r="535" spans="1:9" s="75" customFormat="1">
      <c r="A535" s="118"/>
      <c r="B535" s="119"/>
      <c r="C535" s="119"/>
      <c r="D535" s="120"/>
      <c r="E535" s="119"/>
      <c r="F535" s="119"/>
      <c r="G535" s="119"/>
      <c r="H535" s="119"/>
      <c r="I535" s="121"/>
    </row>
    <row r="536" spans="1:9" s="75" customFormat="1">
      <c r="A536" s="118"/>
      <c r="B536" s="119"/>
      <c r="C536" s="119"/>
      <c r="D536" s="120"/>
      <c r="E536" s="119"/>
      <c r="F536" s="119"/>
      <c r="G536" s="119"/>
      <c r="H536" s="119"/>
      <c r="I536" s="121"/>
    </row>
    <row r="537" spans="1:9" s="75" customFormat="1">
      <c r="A537" s="118"/>
      <c r="B537" s="119"/>
      <c r="C537" s="119"/>
      <c r="D537" s="120"/>
      <c r="E537" s="119"/>
      <c r="F537" s="119"/>
      <c r="G537" s="119"/>
      <c r="H537" s="119"/>
      <c r="I537" s="121"/>
    </row>
    <row r="538" spans="1:9" s="75" customFormat="1">
      <c r="A538" s="118"/>
      <c r="B538" s="119"/>
      <c r="C538" s="119"/>
      <c r="D538" s="120"/>
      <c r="E538" s="119"/>
      <c r="F538" s="119"/>
      <c r="G538" s="119"/>
      <c r="H538" s="119"/>
      <c r="I538" s="121"/>
    </row>
    <row r="539" spans="1:9" s="75" customFormat="1">
      <c r="A539" s="118"/>
      <c r="B539" s="119"/>
      <c r="C539" s="119"/>
      <c r="D539" s="120"/>
      <c r="E539" s="119"/>
      <c r="F539" s="119"/>
      <c r="G539" s="119"/>
      <c r="H539" s="119"/>
      <c r="I539" s="121"/>
    </row>
    <row r="540" spans="1:9" s="75" customFormat="1">
      <c r="A540" s="118"/>
      <c r="B540" s="119"/>
      <c r="C540" s="119"/>
      <c r="D540" s="120"/>
      <c r="E540" s="119"/>
      <c r="F540" s="119"/>
      <c r="G540" s="119"/>
      <c r="H540" s="119"/>
      <c r="I540" s="121"/>
    </row>
    <row r="541" spans="1:9" s="75" customFormat="1">
      <c r="A541" s="118"/>
      <c r="B541" s="119"/>
      <c r="C541" s="119"/>
      <c r="D541" s="120"/>
      <c r="E541" s="119"/>
      <c r="F541" s="119"/>
      <c r="G541" s="119"/>
      <c r="H541" s="119"/>
      <c r="I541" s="121"/>
    </row>
    <row r="542" spans="1:9" s="75" customFormat="1">
      <c r="A542" s="118"/>
      <c r="B542" s="119"/>
      <c r="C542" s="119"/>
      <c r="D542" s="120"/>
      <c r="E542" s="119"/>
      <c r="F542" s="119"/>
      <c r="G542" s="119"/>
      <c r="H542" s="119"/>
      <c r="I542" s="121"/>
    </row>
    <row r="543" spans="1:9" s="75" customFormat="1">
      <c r="A543" s="118"/>
      <c r="B543" s="119"/>
      <c r="C543" s="119"/>
      <c r="D543" s="120"/>
      <c r="E543" s="119"/>
      <c r="F543" s="119"/>
      <c r="G543" s="119"/>
      <c r="H543" s="119"/>
      <c r="I543" s="121"/>
    </row>
    <row r="544" spans="1:9" s="75" customFormat="1">
      <c r="A544" s="118"/>
      <c r="B544" s="119"/>
      <c r="C544" s="119"/>
      <c r="D544" s="120"/>
      <c r="E544" s="119"/>
      <c r="F544" s="119"/>
      <c r="G544" s="119"/>
      <c r="H544" s="119"/>
      <c r="I544" s="121"/>
    </row>
    <row r="545" spans="1:9" s="75" customFormat="1">
      <c r="A545" s="118"/>
      <c r="B545" s="119"/>
      <c r="C545" s="119"/>
      <c r="D545" s="120"/>
      <c r="E545" s="119"/>
      <c r="F545" s="119"/>
      <c r="G545" s="119"/>
      <c r="H545" s="119"/>
      <c r="I545" s="121"/>
    </row>
    <row r="546" spans="1:9" s="75" customFormat="1">
      <c r="A546" s="118"/>
      <c r="B546" s="119"/>
      <c r="C546" s="119"/>
      <c r="D546" s="120"/>
      <c r="E546" s="119"/>
      <c r="F546" s="119"/>
      <c r="G546" s="119"/>
      <c r="H546" s="119"/>
      <c r="I546" s="121"/>
    </row>
    <row r="547" spans="1:9" s="75" customFormat="1">
      <c r="A547" s="118"/>
      <c r="B547" s="119"/>
      <c r="C547" s="119"/>
      <c r="D547" s="120"/>
      <c r="E547" s="119"/>
      <c r="F547" s="119"/>
      <c r="G547" s="119"/>
      <c r="H547" s="119"/>
      <c r="I547" s="121"/>
    </row>
    <row r="548" spans="1:9" s="75" customFormat="1">
      <c r="A548" s="118"/>
      <c r="B548" s="119"/>
      <c r="C548" s="119"/>
      <c r="D548" s="120"/>
      <c r="E548" s="119"/>
      <c r="F548" s="119"/>
      <c r="G548" s="119"/>
      <c r="H548" s="119"/>
      <c r="I548" s="121"/>
    </row>
    <row r="549" spans="1:9" s="75" customFormat="1">
      <c r="A549" s="118"/>
      <c r="B549" s="119"/>
      <c r="C549" s="119"/>
      <c r="D549" s="120"/>
      <c r="E549" s="119"/>
      <c r="F549" s="119"/>
      <c r="G549" s="119"/>
      <c r="H549" s="119"/>
      <c r="I549" s="121"/>
    </row>
    <row r="550" spans="1:9" s="75" customFormat="1">
      <c r="A550" s="118"/>
      <c r="B550" s="119"/>
      <c r="C550" s="119"/>
      <c r="D550" s="120"/>
      <c r="E550" s="119"/>
      <c r="F550" s="119"/>
      <c r="G550" s="119"/>
      <c r="H550" s="119"/>
      <c r="I550" s="121"/>
    </row>
    <row r="551" spans="1:9" s="75" customFormat="1">
      <c r="A551" s="118"/>
      <c r="B551" s="119"/>
      <c r="C551" s="119"/>
      <c r="D551" s="120"/>
      <c r="E551" s="119"/>
      <c r="F551" s="119"/>
      <c r="G551" s="119"/>
      <c r="H551" s="119"/>
      <c r="I551" s="121"/>
    </row>
    <row r="552" spans="1:9" s="75" customFormat="1">
      <c r="A552" s="118"/>
      <c r="B552" s="119"/>
      <c r="C552" s="119"/>
      <c r="D552" s="120"/>
      <c r="E552" s="119"/>
      <c r="F552" s="119"/>
      <c r="G552" s="119"/>
      <c r="H552" s="119"/>
      <c r="I552" s="121"/>
    </row>
    <row r="553" spans="1:9" s="75" customFormat="1">
      <c r="A553" s="118"/>
      <c r="B553" s="119"/>
      <c r="C553" s="119"/>
      <c r="D553" s="120"/>
      <c r="E553" s="119"/>
      <c r="F553" s="119"/>
      <c r="G553" s="119"/>
      <c r="H553" s="119"/>
      <c r="I553" s="121"/>
    </row>
    <row r="554" spans="1:9" s="75" customFormat="1">
      <c r="A554" s="118"/>
      <c r="B554" s="119"/>
      <c r="C554" s="119"/>
      <c r="D554" s="120"/>
      <c r="E554" s="119"/>
      <c r="F554" s="119"/>
      <c r="G554" s="119"/>
      <c r="H554" s="119"/>
      <c r="I554" s="121"/>
    </row>
    <row r="555" spans="1:9" s="75" customFormat="1">
      <c r="A555" s="118"/>
      <c r="B555" s="119"/>
      <c r="C555" s="119"/>
      <c r="D555" s="120"/>
      <c r="E555" s="119"/>
      <c r="F555" s="119"/>
      <c r="G555" s="119"/>
      <c r="H555" s="119"/>
      <c r="I555" s="121"/>
    </row>
    <row r="556" spans="1:9" s="75" customFormat="1">
      <c r="A556" s="118"/>
      <c r="B556" s="119"/>
      <c r="C556" s="119"/>
      <c r="D556" s="120"/>
      <c r="E556" s="119"/>
      <c r="F556" s="119"/>
      <c r="G556" s="119"/>
      <c r="H556" s="119"/>
      <c r="I556" s="121"/>
    </row>
    <row r="557" spans="1:9" s="75" customFormat="1">
      <c r="A557" s="118"/>
      <c r="B557" s="119"/>
      <c r="C557" s="119"/>
      <c r="D557" s="120"/>
      <c r="E557" s="119"/>
      <c r="F557" s="119"/>
      <c r="G557" s="119"/>
      <c r="H557" s="119"/>
      <c r="I557" s="121"/>
    </row>
    <row r="558" spans="1:9" s="75" customFormat="1">
      <c r="A558" s="118"/>
      <c r="B558" s="119"/>
      <c r="C558" s="119"/>
      <c r="D558" s="120"/>
      <c r="E558" s="119"/>
      <c r="F558" s="119"/>
      <c r="G558" s="119"/>
      <c r="H558" s="119"/>
      <c r="I558" s="121"/>
    </row>
    <row r="559" spans="1:9" s="75" customFormat="1">
      <c r="A559" s="118"/>
      <c r="B559" s="119"/>
      <c r="C559" s="119"/>
      <c r="D559" s="120"/>
      <c r="E559" s="119"/>
      <c r="F559" s="119"/>
      <c r="G559" s="119"/>
      <c r="H559" s="119"/>
      <c r="I559" s="121"/>
    </row>
    <row r="560" spans="1:9" s="75" customFormat="1">
      <c r="A560" s="118"/>
      <c r="B560" s="119"/>
      <c r="C560" s="119"/>
      <c r="D560" s="120"/>
      <c r="E560" s="119"/>
      <c r="F560" s="119"/>
      <c r="G560" s="119"/>
      <c r="H560" s="119"/>
      <c r="I560" s="121"/>
    </row>
    <row r="561" spans="1:9" s="75" customFormat="1">
      <c r="A561" s="118"/>
      <c r="B561" s="119"/>
      <c r="C561" s="119"/>
      <c r="D561" s="120"/>
      <c r="E561" s="119"/>
      <c r="F561" s="119"/>
      <c r="G561" s="119"/>
      <c r="H561" s="119"/>
      <c r="I561" s="121"/>
    </row>
    <row r="562" spans="1:9" s="75" customFormat="1">
      <c r="A562" s="118"/>
      <c r="B562" s="119"/>
      <c r="C562" s="119"/>
      <c r="D562" s="120"/>
      <c r="E562" s="119"/>
      <c r="F562" s="119"/>
      <c r="G562" s="119"/>
      <c r="H562" s="119"/>
      <c r="I562" s="121"/>
    </row>
    <row r="563" spans="1:9" s="75" customFormat="1">
      <c r="A563" s="118"/>
      <c r="B563" s="119"/>
      <c r="C563" s="119"/>
      <c r="D563" s="120"/>
      <c r="E563" s="119"/>
      <c r="F563" s="119"/>
      <c r="G563" s="119"/>
      <c r="H563" s="119"/>
      <c r="I563" s="121"/>
    </row>
    <row r="564" spans="1:9" s="75" customFormat="1">
      <c r="A564" s="118"/>
      <c r="B564" s="119"/>
      <c r="C564" s="119"/>
      <c r="D564" s="120"/>
      <c r="E564" s="119"/>
      <c r="F564" s="119"/>
      <c r="G564" s="119"/>
      <c r="H564" s="119"/>
      <c r="I564" s="121"/>
    </row>
    <row r="565" spans="1:9" s="75" customFormat="1">
      <c r="A565" s="118"/>
      <c r="B565" s="119"/>
      <c r="C565" s="119"/>
      <c r="D565" s="120"/>
      <c r="E565" s="119"/>
      <c r="F565" s="119"/>
      <c r="G565" s="119"/>
      <c r="H565" s="119"/>
      <c r="I565" s="121"/>
    </row>
    <row r="566" spans="1:9" s="75" customFormat="1">
      <c r="A566" s="118"/>
      <c r="B566" s="119"/>
      <c r="C566" s="119"/>
      <c r="D566" s="120"/>
      <c r="E566" s="119"/>
      <c r="F566" s="119"/>
      <c r="G566" s="119"/>
      <c r="H566" s="119"/>
      <c r="I566" s="121"/>
    </row>
    <row r="567" spans="1:9" s="75" customFormat="1">
      <c r="A567" s="118"/>
      <c r="B567" s="119"/>
      <c r="C567" s="119"/>
      <c r="D567" s="120"/>
      <c r="E567" s="119"/>
      <c r="F567" s="119"/>
      <c r="G567" s="119"/>
      <c r="H567" s="119"/>
      <c r="I567" s="121"/>
    </row>
    <row r="568" spans="1:9" s="75" customFormat="1">
      <c r="A568" s="118"/>
      <c r="B568" s="119"/>
      <c r="C568" s="119"/>
      <c r="D568" s="120"/>
      <c r="E568" s="119"/>
      <c r="F568" s="119"/>
      <c r="G568" s="119"/>
      <c r="H568" s="119"/>
      <c r="I568" s="121"/>
    </row>
    <row r="569" spans="1:9" s="75" customFormat="1">
      <c r="A569" s="118"/>
      <c r="B569" s="119"/>
      <c r="C569" s="119"/>
      <c r="D569" s="120"/>
      <c r="E569" s="119"/>
      <c r="F569" s="119"/>
      <c r="G569" s="119"/>
      <c r="H569" s="119"/>
      <c r="I569" s="121"/>
    </row>
    <row r="570" spans="1:9" s="75" customFormat="1">
      <c r="A570" s="118"/>
      <c r="B570" s="119"/>
      <c r="C570" s="119"/>
      <c r="D570" s="120"/>
      <c r="E570" s="119"/>
      <c r="F570" s="119"/>
      <c r="G570" s="119"/>
      <c r="H570" s="119"/>
      <c r="I570" s="121"/>
    </row>
    <row r="571" spans="1:9" s="75" customFormat="1">
      <c r="A571" s="118"/>
      <c r="B571" s="119"/>
      <c r="C571" s="119"/>
      <c r="D571" s="120"/>
      <c r="E571" s="119"/>
      <c r="F571" s="119"/>
      <c r="G571" s="119"/>
      <c r="H571" s="119"/>
      <c r="I571" s="121"/>
    </row>
    <row r="572" spans="1:9" s="75" customFormat="1">
      <c r="A572" s="118"/>
      <c r="B572" s="119"/>
      <c r="C572" s="119"/>
      <c r="D572" s="120"/>
      <c r="E572" s="119"/>
      <c r="F572" s="119"/>
      <c r="G572" s="119"/>
      <c r="H572" s="119"/>
      <c r="I572" s="121"/>
    </row>
    <row r="573" spans="1:9" s="75" customFormat="1">
      <c r="A573" s="118"/>
      <c r="B573" s="119"/>
      <c r="C573" s="119"/>
      <c r="D573" s="120"/>
      <c r="E573" s="119"/>
      <c r="F573" s="119"/>
      <c r="G573" s="119"/>
      <c r="H573" s="119"/>
      <c r="I573" s="121"/>
    </row>
    <row r="574" spans="1:9" s="75" customFormat="1">
      <c r="A574" s="118"/>
      <c r="B574" s="119"/>
      <c r="C574" s="119"/>
      <c r="D574" s="120"/>
      <c r="E574" s="119"/>
      <c r="F574" s="119"/>
      <c r="G574" s="119"/>
      <c r="H574" s="119"/>
      <c r="I574" s="121"/>
    </row>
    <row r="575" spans="1:9" s="75" customFormat="1">
      <c r="A575" s="118"/>
      <c r="B575" s="119"/>
      <c r="C575" s="119"/>
      <c r="D575" s="120"/>
      <c r="E575" s="119"/>
      <c r="F575" s="119"/>
      <c r="G575" s="119"/>
      <c r="H575" s="119"/>
      <c r="I575" s="121"/>
    </row>
    <row r="576" spans="1:9" s="75" customFormat="1">
      <c r="A576" s="118"/>
      <c r="B576" s="119"/>
      <c r="C576" s="119"/>
      <c r="D576" s="120"/>
      <c r="E576" s="119"/>
      <c r="F576" s="119"/>
      <c r="G576" s="119"/>
      <c r="H576" s="119"/>
      <c r="I576" s="121"/>
    </row>
    <row r="577" spans="1:9" s="75" customFormat="1">
      <c r="A577" s="118"/>
      <c r="B577" s="119"/>
      <c r="C577" s="119"/>
      <c r="D577" s="120"/>
      <c r="E577" s="119"/>
      <c r="F577" s="119"/>
      <c r="G577" s="119"/>
      <c r="H577" s="119"/>
      <c r="I577" s="121"/>
    </row>
    <row r="578" spans="1:9" s="75" customFormat="1">
      <c r="A578" s="118"/>
      <c r="B578" s="119"/>
      <c r="C578" s="119"/>
      <c r="D578" s="120"/>
      <c r="E578" s="119"/>
      <c r="F578" s="119"/>
      <c r="G578" s="119"/>
      <c r="H578" s="119"/>
      <c r="I578" s="121"/>
    </row>
    <row r="579" spans="1:9" s="75" customFormat="1">
      <c r="A579" s="118"/>
      <c r="B579" s="119"/>
      <c r="C579" s="119"/>
      <c r="D579" s="120"/>
      <c r="E579" s="119"/>
      <c r="F579" s="119"/>
      <c r="G579" s="119"/>
      <c r="H579" s="119"/>
      <c r="I579" s="121"/>
    </row>
    <row r="580" spans="1:9" s="75" customFormat="1">
      <c r="A580" s="118"/>
      <c r="B580" s="119"/>
      <c r="C580" s="119"/>
      <c r="D580" s="120"/>
      <c r="E580" s="119"/>
      <c r="F580" s="119"/>
      <c r="G580" s="119"/>
      <c r="H580" s="119"/>
      <c r="I580" s="121"/>
    </row>
    <row r="581" spans="1:9" s="75" customFormat="1">
      <c r="A581" s="118"/>
      <c r="B581" s="119"/>
      <c r="C581" s="119"/>
      <c r="D581" s="120"/>
      <c r="E581" s="119"/>
      <c r="F581" s="119"/>
      <c r="G581" s="119"/>
      <c r="H581" s="119"/>
      <c r="I581" s="121"/>
    </row>
    <row r="582" spans="1:9" s="75" customFormat="1">
      <c r="A582" s="118"/>
      <c r="B582" s="119"/>
      <c r="C582" s="119"/>
      <c r="D582" s="120"/>
      <c r="E582" s="119"/>
      <c r="F582" s="119"/>
      <c r="G582" s="119"/>
      <c r="H582" s="119"/>
      <c r="I582" s="121"/>
    </row>
    <row r="583" spans="1:9" s="75" customFormat="1">
      <c r="A583" s="118"/>
      <c r="B583" s="119"/>
      <c r="C583" s="119"/>
      <c r="D583" s="120"/>
      <c r="E583" s="119"/>
      <c r="F583" s="119"/>
      <c r="G583" s="119"/>
      <c r="H583" s="119"/>
      <c r="I583" s="121"/>
    </row>
    <row r="584" spans="1:9" s="75" customFormat="1">
      <c r="A584" s="118"/>
      <c r="B584" s="119"/>
      <c r="C584" s="119"/>
      <c r="D584" s="120"/>
      <c r="E584" s="119"/>
      <c r="F584" s="119"/>
      <c r="G584" s="119"/>
      <c r="H584" s="119"/>
      <c r="I584" s="121"/>
    </row>
    <row r="585" spans="1:9" s="75" customFormat="1">
      <c r="A585" s="118"/>
      <c r="B585" s="119"/>
      <c r="C585" s="119"/>
      <c r="D585" s="120"/>
      <c r="E585" s="119"/>
      <c r="F585" s="119"/>
      <c r="G585" s="119"/>
      <c r="H585" s="119"/>
      <c r="I585" s="121"/>
    </row>
    <row r="586" spans="1:9" s="75" customFormat="1">
      <c r="A586" s="118"/>
      <c r="B586" s="119"/>
      <c r="C586" s="119"/>
      <c r="D586" s="120"/>
      <c r="E586" s="119"/>
      <c r="F586" s="119"/>
      <c r="G586" s="119"/>
      <c r="H586" s="119"/>
      <c r="I586" s="121"/>
    </row>
    <row r="587" spans="1:9" s="75" customFormat="1">
      <c r="A587" s="118"/>
      <c r="B587" s="119"/>
      <c r="C587" s="119"/>
      <c r="D587" s="120"/>
      <c r="E587" s="119"/>
      <c r="F587" s="119"/>
      <c r="G587" s="119"/>
      <c r="H587" s="119"/>
      <c r="I587" s="121"/>
    </row>
    <row r="588" spans="1:9" s="75" customFormat="1">
      <c r="A588" s="118"/>
      <c r="B588" s="119"/>
      <c r="C588" s="119"/>
      <c r="D588" s="120"/>
      <c r="E588" s="119"/>
      <c r="F588" s="119"/>
      <c r="G588" s="119"/>
      <c r="H588" s="119"/>
      <c r="I588" s="121"/>
    </row>
    <row r="589" spans="1:9" s="75" customFormat="1">
      <c r="A589" s="118"/>
      <c r="B589" s="119"/>
      <c r="C589" s="119"/>
      <c r="D589" s="120"/>
      <c r="E589" s="119"/>
      <c r="F589" s="119"/>
      <c r="G589" s="119"/>
      <c r="H589" s="119"/>
      <c r="I589" s="121"/>
    </row>
    <row r="590" spans="1:9" s="75" customFormat="1">
      <c r="A590" s="118"/>
      <c r="B590" s="119"/>
      <c r="C590" s="119"/>
      <c r="D590" s="120"/>
      <c r="E590" s="119"/>
      <c r="F590" s="119"/>
      <c r="G590" s="119"/>
      <c r="H590" s="119"/>
      <c r="I590" s="121"/>
    </row>
    <row r="591" spans="1:9" s="75" customFormat="1">
      <c r="A591" s="118"/>
      <c r="B591" s="119"/>
      <c r="C591" s="119"/>
      <c r="D591" s="120"/>
      <c r="E591" s="119"/>
      <c r="F591" s="119"/>
      <c r="G591" s="119"/>
      <c r="H591" s="119"/>
      <c r="I591" s="121"/>
    </row>
    <row r="592" spans="1:9" s="75" customFormat="1">
      <c r="A592" s="118"/>
      <c r="B592" s="119"/>
      <c r="C592" s="119"/>
      <c r="D592" s="120"/>
      <c r="E592" s="119"/>
      <c r="F592" s="119"/>
      <c r="G592" s="119"/>
      <c r="H592" s="119"/>
      <c r="I592" s="121"/>
    </row>
    <row r="593" spans="1:9" s="75" customFormat="1">
      <c r="A593" s="118"/>
      <c r="B593" s="119"/>
      <c r="C593" s="119"/>
      <c r="D593" s="120"/>
      <c r="E593" s="119"/>
      <c r="F593" s="119"/>
      <c r="G593" s="119"/>
      <c r="H593" s="119"/>
      <c r="I593" s="121"/>
    </row>
    <row r="594" spans="1:9" s="75" customFormat="1">
      <c r="A594" s="118"/>
      <c r="B594" s="119"/>
      <c r="C594" s="119"/>
      <c r="D594" s="120"/>
      <c r="E594" s="119"/>
      <c r="F594" s="119"/>
      <c r="G594" s="119"/>
      <c r="H594" s="119"/>
      <c r="I594" s="121"/>
    </row>
    <row r="595" spans="1:9" s="75" customFormat="1">
      <c r="A595" s="118"/>
      <c r="B595" s="119"/>
      <c r="C595" s="119"/>
      <c r="D595" s="120"/>
      <c r="E595" s="119"/>
      <c r="F595" s="119"/>
      <c r="G595" s="119"/>
      <c r="H595" s="119"/>
      <c r="I595" s="121"/>
    </row>
    <row r="596" spans="1:9" s="75" customFormat="1">
      <c r="A596" s="118"/>
      <c r="B596" s="119"/>
      <c r="C596" s="119"/>
      <c r="D596" s="120"/>
      <c r="E596" s="119"/>
      <c r="F596" s="119"/>
      <c r="G596" s="119"/>
      <c r="H596" s="119"/>
      <c r="I596" s="121"/>
    </row>
    <row r="597" spans="1:9" s="75" customFormat="1">
      <c r="A597" s="118"/>
      <c r="B597" s="119"/>
      <c r="C597" s="119"/>
      <c r="D597" s="120"/>
      <c r="E597" s="119"/>
      <c r="F597" s="119"/>
      <c r="G597" s="119"/>
      <c r="H597" s="119"/>
      <c r="I597" s="121"/>
    </row>
    <row r="598" spans="1:9" s="75" customFormat="1">
      <c r="A598" s="118"/>
      <c r="B598" s="119"/>
      <c r="C598" s="119"/>
      <c r="D598" s="120"/>
      <c r="E598" s="119"/>
      <c r="F598" s="119"/>
      <c r="G598" s="119"/>
      <c r="H598" s="119"/>
      <c r="I598" s="121"/>
    </row>
    <row r="599" spans="1:9" s="75" customFormat="1">
      <c r="A599" s="118"/>
      <c r="B599" s="119"/>
      <c r="C599" s="119"/>
      <c r="D599" s="120"/>
      <c r="E599" s="119"/>
      <c r="F599" s="119"/>
      <c r="G599" s="119"/>
      <c r="H599" s="119"/>
      <c r="I599" s="121"/>
    </row>
    <row r="600" spans="1:9" s="75" customFormat="1">
      <c r="A600" s="118"/>
      <c r="B600" s="119"/>
      <c r="C600" s="119"/>
      <c r="D600" s="120"/>
      <c r="E600" s="119"/>
      <c r="F600" s="119"/>
      <c r="G600" s="119"/>
      <c r="H600" s="119"/>
      <c r="I600" s="121"/>
    </row>
    <row r="601" spans="1:9" s="75" customFormat="1">
      <c r="A601" s="118"/>
      <c r="B601" s="119"/>
      <c r="C601" s="119"/>
      <c r="D601" s="120"/>
      <c r="E601" s="119"/>
      <c r="F601" s="119"/>
      <c r="G601" s="119"/>
      <c r="H601" s="119"/>
      <c r="I601" s="121"/>
    </row>
    <row r="602" spans="1:9" s="75" customFormat="1">
      <c r="A602" s="118"/>
      <c r="B602" s="119"/>
      <c r="C602" s="119"/>
      <c r="D602" s="120"/>
      <c r="E602" s="119"/>
      <c r="F602" s="119"/>
      <c r="G602" s="119"/>
      <c r="H602" s="119"/>
      <c r="I602" s="121"/>
    </row>
    <row r="603" spans="1:9" s="75" customFormat="1">
      <c r="A603" s="118"/>
      <c r="B603" s="119"/>
      <c r="C603" s="119"/>
      <c r="D603" s="120"/>
      <c r="E603" s="119"/>
      <c r="F603" s="119"/>
      <c r="G603" s="119"/>
      <c r="H603" s="119"/>
      <c r="I603" s="121"/>
    </row>
    <row r="604" spans="1:9" s="75" customFormat="1">
      <c r="A604" s="118"/>
      <c r="B604" s="119"/>
      <c r="C604" s="119"/>
      <c r="D604" s="120"/>
      <c r="E604" s="119"/>
      <c r="F604" s="119"/>
      <c r="G604" s="119"/>
      <c r="H604" s="119"/>
      <c r="I604" s="121"/>
    </row>
    <row r="605" spans="1:9" s="75" customFormat="1">
      <c r="A605" s="118"/>
      <c r="B605" s="119"/>
      <c r="C605" s="119"/>
      <c r="D605" s="120"/>
      <c r="E605" s="119"/>
      <c r="F605" s="119"/>
      <c r="G605" s="119"/>
      <c r="H605" s="119"/>
      <c r="I605" s="121"/>
    </row>
    <row r="606" spans="1:9" s="75" customFormat="1">
      <c r="A606" s="118"/>
      <c r="B606" s="119"/>
      <c r="C606" s="119"/>
      <c r="D606" s="120"/>
      <c r="E606" s="119"/>
      <c r="F606" s="119"/>
      <c r="G606" s="119"/>
      <c r="H606" s="119"/>
      <c r="I606" s="121"/>
    </row>
    <row r="607" spans="1:9" s="75" customFormat="1">
      <c r="A607" s="118"/>
      <c r="B607" s="119"/>
      <c r="C607" s="119"/>
      <c r="D607" s="120"/>
      <c r="E607" s="119"/>
      <c r="F607" s="119"/>
      <c r="G607" s="119"/>
      <c r="H607" s="119"/>
      <c r="I607" s="121"/>
    </row>
    <row r="608" spans="1:9" s="75" customFormat="1">
      <c r="A608" s="118"/>
      <c r="B608" s="119"/>
      <c r="C608" s="119"/>
      <c r="D608" s="120"/>
      <c r="E608" s="119"/>
      <c r="F608" s="119"/>
      <c r="G608" s="119"/>
      <c r="H608" s="119"/>
      <c r="I608" s="121"/>
    </row>
    <row r="609" spans="1:9" s="75" customFormat="1">
      <c r="A609" s="118"/>
      <c r="B609" s="119"/>
      <c r="C609" s="119"/>
      <c r="D609" s="120"/>
      <c r="E609" s="119"/>
      <c r="F609" s="119"/>
      <c r="G609" s="119"/>
      <c r="H609" s="119"/>
      <c r="I609" s="121"/>
    </row>
    <row r="610" spans="1:9" s="75" customFormat="1">
      <c r="A610" s="118"/>
      <c r="B610" s="119"/>
      <c r="C610" s="119"/>
      <c r="D610" s="120"/>
      <c r="E610" s="119"/>
      <c r="F610" s="119"/>
      <c r="G610" s="119"/>
      <c r="H610" s="119"/>
      <c r="I610" s="121"/>
    </row>
    <row r="611" spans="1:9" s="75" customFormat="1">
      <c r="A611" s="118"/>
      <c r="B611" s="119"/>
      <c r="C611" s="119"/>
      <c r="D611" s="120"/>
      <c r="E611" s="119"/>
      <c r="F611" s="119"/>
      <c r="G611" s="119"/>
      <c r="H611" s="119"/>
      <c r="I611" s="121"/>
    </row>
    <row r="612" spans="1:9" s="75" customFormat="1">
      <c r="A612" s="118"/>
      <c r="B612" s="119"/>
      <c r="C612" s="119"/>
      <c r="D612" s="120"/>
      <c r="E612" s="119"/>
      <c r="F612" s="119"/>
      <c r="G612" s="119"/>
      <c r="H612" s="119"/>
      <c r="I612" s="121"/>
    </row>
    <row r="613" spans="1:9" s="75" customFormat="1">
      <c r="A613" s="118"/>
      <c r="B613" s="119"/>
      <c r="C613" s="119"/>
      <c r="D613" s="120"/>
      <c r="E613" s="119"/>
      <c r="F613" s="119"/>
      <c r="G613" s="119"/>
      <c r="H613" s="119"/>
      <c r="I613" s="121"/>
    </row>
    <row r="614" spans="1:9" s="75" customFormat="1">
      <c r="A614" s="118"/>
      <c r="B614" s="119"/>
      <c r="C614" s="119"/>
      <c r="D614" s="120"/>
      <c r="E614" s="119"/>
      <c r="F614" s="119"/>
      <c r="G614" s="119"/>
      <c r="H614" s="119"/>
      <c r="I614" s="121"/>
    </row>
    <row r="615" spans="1:9" s="75" customFormat="1">
      <c r="A615" s="118"/>
      <c r="B615" s="119"/>
      <c r="C615" s="119"/>
      <c r="D615" s="120"/>
      <c r="E615" s="119"/>
      <c r="F615" s="119"/>
      <c r="G615" s="119"/>
      <c r="H615" s="119"/>
      <c r="I615" s="121"/>
    </row>
    <row r="616" spans="1:9" s="75" customFormat="1">
      <c r="A616" s="118"/>
      <c r="B616" s="119"/>
      <c r="C616" s="119"/>
      <c r="D616" s="120"/>
      <c r="E616" s="119"/>
      <c r="F616" s="119"/>
      <c r="G616" s="119"/>
      <c r="H616" s="119"/>
      <c r="I616" s="121"/>
    </row>
    <row r="617" spans="1:9" s="75" customFormat="1">
      <c r="A617" s="118"/>
      <c r="B617" s="119"/>
      <c r="C617" s="119"/>
      <c r="D617" s="120"/>
      <c r="E617" s="119"/>
      <c r="F617" s="119"/>
      <c r="G617" s="119"/>
      <c r="H617" s="119"/>
      <c r="I617" s="121"/>
    </row>
    <row r="618" spans="1:9" s="75" customFormat="1">
      <c r="A618" s="118"/>
      <c r="B618" s="119"/>
      <c r="C618" s="119"/>
      <c r="D618" s="120"/>
      <c r="E618" s="119"/>
      <c r="F618" s="119"/>
      <c r="G618" s="119"/>
      <c r="H618" s="119"/>
      <c r="I618" s="121"/>
    </row>
    <row r="619" spans="1:9" s="75" customFormat="1">
      <c r="A619" s="118"/>
      <c r="B619" s="119"/>
      <c r="C619" s="119"/>
      <c r="D619" s="120"/>
      <c r="E619" s="119"/>
      <c r="F619" s="119"/>
      <c r="G619" s="119"/>
      <c r="H619" s="119"/>
      <c r="I619" s="121"/>
    </row>
    <row r="620" spans="1:9" s="75" customFormat="1">
      <c r="A620" s="118"/>
      <c r="B620" s="119"/>
      <c r="C620" s="119"/>
      <c r="D620" s="120"/>
      <c r="E620" s="119"/>
      <c r="F620" s="119"/>
      <c r="G620" s="119"/>
      <c r="H620" s="119"/>
      <c r="I620" s="121"/>
    </row>
    <row r="621" spans="1:9" s="75" customFormat="1">
      <c r="A621" s="118"/>
      <c r="B621" s="119"/>
      <c r="C621" s="119"/>
      <c r="D621" s="120"/>
      <c r="E621" s="119"/>
      <c r="F621" s="119"/>
      <c r="G621" s="119"/>
      <c r="H621" s="119"/>
      <c r="I621" s="121"/>
    </row>
    <row r="622" spans="1:9" s="75" customFormat="1">
      <c r="A622" s="118"/>
      <c r="B622" s="119"/>
      <c r="C622" s="119"/>
      <c r="D622" s="120"/>
      <c r="E622" s="119"/>
      <c r="F622" s="119"/>
      <c r="G622" s="119"/>
      <c r="H622" s="119"/>
      <c r="I622" s="121"/>
    </row>
    <row r="623" spans="1:9" s="75" customFormat="1">
      <c r="A623" s="118"/>
      <c r="B623" s="119"/>
      <c r="C623" s="119"/>
      <c r="D623" s="120"/>
      <c r="E623" s="119"/>
      <c r="F623" s="119"/>
      <c r="G623" s="119"/>
      <c r="H623" s="119"/>
      <c r="I623" s="121"/>
    </row>
    <row r="624" spans="1:9" s="75" customFormat="1">
      <c r="A624" s="118"/>
      <c r="B624" s="119"/>
      <c r="C624" s="119"/>
      <c r="D624" s="120"/>
      <c r="E624" s="119"/>
      <c r="F624" s="119"/>
      <c r="G624" s="119"/>
      <c r="H624" s="119"/>
      <c r="I624" s="121"/>
    </row>
    <row r="625" spans="1:9" s="75" customFormat="1">
      <c r="A625" s="118"/>
      <c r="B625" s="119"/>
      <c r="C625" s="119"/>
      <c r="D625" s="120"/>
      <c r="E625" s="119"/>
      <c r="F625" s="119"/>
      <c r="G625" s="119"/>
      <c r="H625" s="119"/>
      <c r="I625" s="121"/>
    </row>
    <row r="626" spans="1:9" s="75" customFormat="1">
      <c r="A626" s="118"/>
      <c r="B626" s="119"/>
      <c r="C626" s="119"/>
      <c r="D626" s="120"/>
      <c r="E626" s="119"/>
      <c r="F626" s="119"/>
      <c r="G626" s="119"/>
      <c r="H626" s="119"/>
      <c r="I626" s="121"/>
    </row>
    <row r="627" spans="1:9" s="75" customFormat="1">
      <c r="A627" s="118"/>
      <c r="B627" s="119"/>
      <c r="C627" s="119"/>
      <c r="D627" s="120"/>
      <c r="E627" s="119"/>
      <c r="F627" s="119"/>
      <c r="G627" s="119"/>
      <c r="H627" s="119"/>
      <c r="I627" s="121"/>
    </row>
    <row r="628" spans="1:9" s="75" customFormat="1">
      <c r="A628" s="118"/>
      <c r="B628" s="119"/>
      <c r="C628" s="119"/>
      <c r="D628" s="120"/>
      <c r="E628" s="119"/>
      <c r="F628" s="119"/>
      <c r="G628" s="119"/>
      <c r="H628" s="119"/>
      <c r="I628" s="121"/>
    </row>
    <row r="629" spans="1:9" s="75" customFormat="1">
      <c r="A629" s="118"/>
      <c r="B629" s="119"/>
      <c r="C629" s="119"/>
      <c r="D629" s="120"/>
      <c r="E629" s="119"/>
      <c r="F629" s="119"/>
      <c r="G629" s="119"/>
      <c r="H629" s="119"/>
      <c r="I629" s="121"/>
    </row>
    <row r="630" spans="1:9" s="75" customFormat="1">
      <c r="A630" s="118"/>
      <c r="B630" s="119"/>
      <c r="C630" s="119"/>
      <c r="D630" s="120"/>
      <c r="E630" s="119"/>
      <c r="F630" s="119"/>
      <c r="G630" s="119"/>
      <c r="H630" s="119"/>
      <c r="I630" s="121"/>
    </row>
    <row r="631" spans="1:9" s="75" customFormat="1">
      <c r="A631" s="118"/>
      <c r="B631" s="119"/>
      <c r="C631" s="119"/>
      <c r="D631" s="120"/>
      <c r="E631" s="119"/>
      <c r="F631" s="119"/>
      <c r="G631" s="119"/>
      <c r="H631" s="119"/>
      <c r="I631" s="121"/>
    </row>
    <row r="632" spans="1:9" s="75" customFormat="1">
      <c r="A632" s="118"/>
      <c r="B632" s="119"/>
      <c r="C632" s="119"/>
      <c r="D632" s="120"/>
      <c r="E632" s="119"/>
      <c r="F632" s="119"/>
      <c r="G632" s="119"/>
      <c r="H632" s="119"/>
      <c r="I632" s="121"/>
    </row>
    <row r="633" spans="1:9" s="75" customFormat="1">
      <c r="A633" s="118"/>
      <c r="B633" s="119"/>
      <c r="C633" s="119"/>
      <c r="D633" s="120"/>
      <c r="E633" s="119"/>
      <c r="F633" s="119"/>
      <c r="G633" s="119"/>
      <c r="H633" s="119"/>
      <c r="I633" s="121"/>
    </row>
    <row r="634" spans="1:9" s="75" customFormat="1">
      <c r="A634" s="118"/>
      <c r="B634" s="119"/>
      <c r="C634" s="119"/>
      <c r="D634" s="120"/>
      <c r="E634" s="119"/>
      <c r="F634" s="119"/>
      <c r="G634" s="119"/>
      <c r="H634" s="119"/>
      <c r="I634" s="121"/>
    </row>
    <row r="635" spans="1:9" s="75" customFormat="1">
      <c r="A635" s="118"/>
      <c r="B635" s="119"/>
      <c r="C635" s="119"/>
      <c r="D635" s="120"/>
      <c r="E635" s="119"/>
      <c r="F635" s="119"/>
      <c r="G635" s="119"/>
      <c r="H635" s="119"/>
      <c r="I635" s="121"/>
    </row>
    <row r="636" spans="1:9" s="75" customFormat="1">
      <c r="A636" s="118"/>
      <c r="B636" s="119"/>
      <c r="C636" s="119"/>
      <c r="D636" s="120"/>
      <c r="E636" s="119"/>
      <c r="F636" s="119"/>
      <c r="G636" s="119"/>
      <c r="H636" s="119"/>
      <c r="I636" s="121"/>
    </row>
    <row r="637" spans="1:9" s="75" customFormat="1">
      <c r="A637" s="118"/>
      <c r="B637" s="119"/>
      <c r="C637" s="119"/>
      <c r="D637" s="120"/>
      <c r="E637" s="119"/>
      <c r="F637" s="119"/>
      <c r="G637" s="119"/>
      <c r="H637" s="119"/>
      <c r="I637" s="121"/>
    </row>
    <row r="638" spans="1:9" s="75" customFormat="1">
      <c r="A638" s="118"/>
      <c r="B638" s="119"/>
      <c r="C638" s="119"/>
      <c r="D638" s="120"/>
      <c r="E638" s="119"/>
      <c r="F638" s="119"/>
      <c r="G638" s="119"/>
      <c r="H638" s="119"/>
      <c r="I638" s="121"/>
    </row>
    <row r="639" spans="1:9" s="75" customFormat="1">
      <c r="A639" s="118"/>
      <c r="B639" s="119"/>
      <c r="C639" s="119"/>
      <c r="D639" s="120"/>
      <c r="E639" s="119"/>
      <c r="F639" s="119"/>
      <c r="G639" s="119"/>
      <c r="H639" s="119"/>
      <c r="I639" s="121"/>
    </row>
    <row r="640" spans="1:9" s="75" customFormat="1">
      <c r="A640" s="118"/>
      <c r="B640" s="119"/>
      <c r="C640" s="119"/>
      <c r="D640" s="120"/>
      <c r="E640" s="119"/>
      <c r="F640" s="119"/>
      <c r="G640" s="119"/>
      <c r="H640" s="119"/>
      <c r="I640" s="121"/>
    </row>
    <row r="641" spans="1:9" s="75" customFormat="1">
      <c r="A641" s="118"/>
      <c r="B641" s="119"/>
      <c r="C641" s="119"/>
      <c r="D641" s="120"/>
      <c r="E641" s="119"/>
      <c r="F641" s="119"/>
      <c r="G641" s="119"/>
      <c r="H641" s="119"/>
      <c r="I641" s="121"/>
    </row>
    <row r="642" spans="1:9" s="75" customFormat="1">
      <c r="A642" s="118"/>
      <c r="B642" s="119"/>
      <c r="C642" s="119"/>
      <c r="D642" s="120"/>
      <c r="E642" s="119"/>
      <c r="F642" s="119"/>
      <c r="G642" s="119"/>
      <c r="H642" s="119"/>
      <c r="I642" s="121"/>
    </row>
    <row r="643" spans="1:9" s="75" customFormat="1">
      <c r="A643" s="118"/>
      <c r="B643" s="119"/>
      <c r="C643" s="119"/>
      <c r="D643" s="120"/>
      <c r="E643" s="119"/>
      <c r="F643" s="119"/>
      <c r="G643" s="119"/>
      <c r="H643" s="119"/>
      <c r="I643" s="121"/>
    </row>
    <row r="644" spans="1:9" s="75" customFormat="1">
      <c r="A644" s="118"/>
      <c r="B644" s="119"/>
      <c r="C644" s="119"/>
      <c r="D644" s="120"/>
      <c r="E644" s="119"/>
      <c r="F644" s="119"/>
      <c r="G644" s="119"/>
      <c r="H644" s="119"/>
      <c r="I644" s="121"/>
    </row>
    <row r="645" spans="1:9" s="75" customFormat="1">
      <c r="A645" s="118"/>
      <c r="B645" s="119"/>
      <c r="C645" s="119"/>
      <c r="D645" s="120"/>
      <c r="E645" s="119"/>
      <c r="F645" s="119"/>
      <c r="G645" s="119"/>
      <c r="H645" s="119"/>
      <c r="I645" s="121"/>
    </row>
    <row r="646" spans="1:9" s="75" customFormat="1">
      <c r="A646" s="118"/>
      <c r="B646" s="119"/>
      <c r="C646" s="119"/>
      <c r="D646" s="120"/>
      <c r="E646" s="119"/>
      <c r="F646" s="119"/>
      <c r="G646" s="119"/>
      <c r="H646" s="119"/>
      <c r="I646" s="121"/>
    </row>
    <row r="647" spans="1:9" s="75" customFormat="1">
      <c r="A647" s="118"/>
      <c r="B647" s="119"/>
      <c r="C647" s="119"/>
      <c r="D647" s="120"/>
      <c r="E647" s="119"/>
      <c r="F647" s="119"/>
      <c r="G647" s="119"/>
      <c r="H647" s="119"/>
      <c r="I647" s="121"/>
    </row>
    <row r="648" spans="1:9" s="75" customFormat="1">
      <c r="A648" s="118"/>
      <c r="B648" s="119"/>
      <c r="C648" s="119"/>
      <c r="D648" s="120"/>
      <c r="E648" s="119"/>
      <c r="F648" s="119"/>
      <c r="G648" s="119"/>
      <c r="H648" s="119"/>
      <c r="I648" s="121"/>
    </row>
    <row r="649" spans="1:9" s="75" customFormat="1">
      <c r="A649" s="118"/>
      <c r="B649" s="119"/>
      <c r="C649" s="119"/>
      <c r="D649" s="120"/>
      <c r="E649" s="119"/>
      <c r="F649" s="119"/>
      <c r="G649" s="119"/>
      <c r="H649" s="119"/>
      <c r="I649" s="121"/>
    </row>
    <row r="650" spans="1:9" s="75" customFormat="1">
      <c r="A650" s="118"/>
      <c r="B650" s="119"/>
      <c r="C650" s="119"/>
      <c r="D650" s="120"/>
      <c r="E650" s="119"/>
      <c r="F650" s="119"/>
      <c r="G650" s="119"/>
      <c r="H650" s="119"/>
      <c r="I650" s="121"/>
    </row>
    <row r="651" spans="1:9" s="75" customFormat="1">
      <c r="A651" s="118"/>
      <c r="B651" s="119"/>
      <c r="C651" s="119"/>
      <c r="D651" s="120"/>
      <c r="E651" s="119"/>
      <c r="F651" s="119"/>
      <c r="G651" s="119"/>
      <c r="H651" s="119"/>
      <c r="I651" s="121"/>
    </row>
    <row r="652" spans="1:9" s="75" customFormat="1">
      <c r="A652" s="118"/>
      <c r="B652" s="119"/>
      <c r="C652" s="119"/>
      <c r="D652" s="120"/>
      <c r="E652" s="119"/>
      <c r="F652" s="119"/>
      <c r="G652" s="119"/>
      <c r="H652" s="119"/>
      <c r="I652" s="121"/>
    </row>
    <row r="653" spans="1:9" s="75" customFormat="1">
      <c r="A653" s="118"/>
      <c r="B653" s="119"/>
      <c r="C653" s="119"/>
      <c r="D653" s="120"/>
      <c r="E653" s="119"/>
      <c r="F653" s="119"/>
      <c r="G653" s="119"/>
      <c r="H653" s="119"/>
      <c r="I653" s="121"/>
    </row>
    <row r="654" spans="1:9" s="75" customFormat="1">
      <c r="A654" s="118"/>
      <c r="B654" s="119"/>
      <c r="C654" s="119"/>
      <c r="D654" s="120"/>
      <c r="E654" s="119"/>
      <c r="F654" s="119"/>
      <c r="G654" s="119"/>
      <c r="H654" s="119"/>
      <c r="I654" s="121"/>
    </row>
    <row r="655" spans="1:9" s="75" customFormat="1">
      <c r="A655" s="118"/>
      <c r="B655" s="119"/>
      <c r="C655" s="119"/>
      <c r="D655" s="120"/>
      <c r="E655" s="119"/>
      <c r="F655" s="119"/>
      <c r="G655" s="119"/>
      <c r="H655" s="119"/>
      <c r="I655" s="121"/>
    </row>
    <row r="656" spans="1:9" s="75" customFormat="1">
      <c r="A656" s="118"/>
      <c r="B656" s="119"/>
      <c r="C656" s="119"/>
      <c r="D656" s="120"/>
      <c r="E656" s="119"/>
      <c r="F656" s="119"/>
      <c r="G656" s="119"/>
      <c r="H656" s="119"/>
      <c r="I656" s="121"/>
    </row>
    <row r="657" spans="1:9" s="75" customFormat="1">
      <c r="A657" s="118"/>
      <c r="B657" s="119"/>
      <c r="C657" s="119"/>
      <c r="D657" s="120"/>
      <c r="E657" s="119"/>
      <c r="F657" s="119"/>
      <c r="G657" s="119"/>
      <c r="H657" s="119"/>
      <c r="I657" s="121"/>
    </row>
    <row r="658" spans="1:9" s="75" customFormat="1">
      <c r="A658" s="118"/>
      <c r="B658" s="119"/>
      <c r="C658" s="119"/>
      <c r="D658" s="120"/>
      <c r="E658" s="119"/>
      <c r="F658" s="119"/>
      <c r="G658" s="119"/>
      <c r="H658" s="119"/>
      <c r="I658" s="121"/>
    </row>
    <row r="659" spans="1:9" s="75" customFormat="1">
      <c r="A659" s="118"/>
      <c r="B659" s="119"/>
      <c r="C659" s="119"/>
      <c r="D659" s="120"/>
      <c r="E659" s="119"/>
      <c r="F659" s="119"/>
      <c r="G659" s="119"/>
      <c r="H659" s="119"/>
      <c r="I659" s="121"/>
    </row>
    <row r="660" spans="1:9" s="75" customFormat="1">
      <c r="A660" s="118"/>
      <c r="B660" s="119"/>
      <c r="C660" s="119"/>
      <c r="D660" s="120"/>
      <c r="E660" s="119"/>
      <c r="F660" s="119"/>
      <c r="G660" s="119"/>
      <c r="H660" s="119"/>
      <c r="I660" s="121"/>
    </row>
    <row r="661" spans="1:9" s="75" customFormat="1">
      <c r="A661" s="118"/>
      <c r="B661" s="119"/>
      <c r="C661" s="119"/>
      <c r="D661" s="120"/>
      <c r="E661" s="119"/>
      <c r="F661" s="119"/>
      <c r="G661" s="119"/>
      <c r="H661" s="119"/>
      <c r="I661" s="121"/>
    </row>
  </sheetData>
  <mergeCells count="13">
    <mergeCell ref="R1:R2"/>
    <mergeCell ref="D1:D2"/>
    <mergeCell ref="C1:C2"/>
    <mergeCell ref="B1:B2"/>
    <mergeCell ref="A1:A2"/>
    <mergeCell ref="P1:P2"/>
    <mergeCell ref="Q1:Q2"/>
    <mergeCell ref="E1:E2"/>
    <mergeCell ref="J1:O2"/>
    <mergeCell ref="I1:I2"/>
    <mergeCell ref="H1:H2"/>
    <mergeCell ref="F1:F2"/>
    <mergeCell ref="G1:G2"/>
  </mergeCells>
  <conditionalFormatting sqref="H17">
    <cfRule type="cellIs" dxfId="253" priority="209" operator="equal">
      <formula>0</formula>
    </cfRule>
  </conditionalFormatting>
  <conditionalFormatting sqref="H24">
    <cfRule type="cellIs" dxfId="252" priority="207" operator="equal">
      <formula>0</formula>
    </cfRule>
  </conditionalFormatting>
  <conditionalFormatting sqref="H31">
    <cfRule type="cellIs" dxfId="251" priority="206" operator="equal">
      <formula>0</formula>
    </cfRule>
  </conditionalFormatting>
  <conditionalFormatting sqref="H38">
    <cfRule type="cellIs" dxfId="250" priority="205" operator="equal">
      <formula>0</formula>
    </cfRule>
  </conditionalFormatting>
  <conditionalFormatting sqref="I17">
    <cfRule type="cellIs" dxfId="249" priority="204" operator="equal">
      <formula>0.007</formula>
    </cfRule>
  </conditionalFormatting>
  <conditionalFormatting sqref="P3">
    <cfRule type="cellIs" dxfId="248" priority="195" operator="equal">
      <formula>0</formula>
    </cfRule>
  </conditionalFormatting>
  <conditionalFormatting sqref="F3:G3">
    <cfRule type="cellIs" dxfId="247" priority="148" operator="equal">
      <formula>0</formula>
    </cfRule>
  </conditionalFormatting>
  <conditionalFormatting sqref="F332:G332">
    <cfRule type="cellIs" dxfId="246" priority="95" operator="equal">
      <formula>0</formula>
    </cfRule>
  </conditionalFormatting>
  <conditionalFormatting sqref="F10">
    <cfRule type="cellIs" dxfId="245" priority="141" operator="equal">
      <formula>0</formula>
    </cfRule>
  </conditionalFormatting>
  <conditionalFormatting sqref="F17">
    <cfRule type="cellIs" dxfId="244" priority="140" operator="equal">
      <formula>0</formula>
    </cfRule>
  </conditionalFormatting>
  <conditionalFormatting sqref="F24">
    <cfRule type="cellIs" dxfId="243" priority="139" operator="equal">
      <formula>0</formula>
    </cfRule>
  </conditionalFormatting>
  <conditionalFormatting sqref="F31">
    <cfRule type="cellIs" dxfId="242" priority="138" operator="equal">
      <formula>0</formula>
    </cfRule>
  </conditionalFormatting>
  <conditionalFormatting sqref="F38">
    <cfRule type="cellIs" dxfId="241" priority="137" operator="equal">
      <formula>0</formula>
    </cfRule>
  </conditionalFormatting>
  <conditionalFormatting sqref="F45">
    <cfRule type="cellIs" dxfId="240" priority="136" operator="equal">
      <formula>0</formula>
    </cfRule>
  </conditionalFormatting>
  <conditionalFormatting sqref="F52">
    <cfRule type="cellIs" dxfId="239" priority="135" operator="equal">
      <formula>0</formula>
    </cfRule>
  </conditionalFormatting>
  <conditionalFormatting sqref="F59">
    <cfRule type="cellIs" dxfId="238" priority="134" operator="equal">
      <formula>0</formula>
    </cfRule>
  </conditionalFormatting>
  <conditionalFormatting sqref="F66">
    <cfRule type="cellIs" dxfId="237" priority="133" operator="equal">
      <formula>0</formula>
    </cfRule>
  </conditionalFormatting>
  <conditionalFormatting sqref="F73">
    <cfRule type="cellIs" dxfId="236" priority="132" operator="equal">
      <formula>0</formula>
    </cfRule>
  </conditionalFormatting>
  <conditionalFormatting sqref="F80">
    <cfRule type="cellIs" dxfId="235" priority="131" operator="equal">
      <formula>0</formula>
    </cfRule>
  </conditionalFormatting>
  <conditionalFormatting sqref="F87">
    <cfRule type="cellIs" dxfId="234" priority="130" operator="equal">
      <formula>0</formula>
    </cfRule>
  </conditionalFormatting>
  <conditionalFormatting sqref="F94">
    <cfRule type="cellIs" dxfId="233" priority="129" operator="equal">
      <formula>0</formula>
    </cfRule>
  </conditionalFormatting>
  <conditionalFormatting sqref="F101">
    <cfRule type="cellIs" dxfId="232" priority="128" operator="equal">
      <formula>0</formula>
    </cfRule>
  </conditionalFormatting>
  <conditionalFormatting sqref="F108">
    <cfRule type="cellIs" dxfId="231" priority="127" operator="equal">
      <formula>0</formula>
    </cfRule>
  </conditionalFormatting>
  <conditionalFormatting sqref="F115">
    <cfRule type="cellIs" dxfId="230" priority="126" operator="equal">
      <formula>0</formula>
    </cfRule>
  </conditionalFormatting>
  <conditionalFormatting sqref="F122">
    <cfRule type="cellIs" dxfId="229" priority="125" operator="equal">
      <formula>0</formula>
    </cfRule>
  </conditionalFormatting>
  <conditionalFormatting sqref="F129">
    <cfRule type="cellIs" dxfId="228" priority="124" operator="equal">
      <formula>0</formula>
    </cfRule>
  </conditionalFormatting>
  <conditionalFormatting sqref="F136">
    <cfRule type="cellIs" dxfId="227" priority="123" operator="equal">
      <formula>0</formula>
    </cfRule>
  </conditionalFormatting>
  <conditionalFormatting sqref="F143">
    <cfRule type="cellIs" dxfId="226" priority="122" operator="equal">
      <formula>0</formula>
    </cfRule>
  </conditionalFormatting>
  <conditionalFormatting sqref="F150">
    <cfRule type="cellIs" dxfId="225" priority="121" operator="equal">
      <formula>0</formula>
    </cfRule>
  </conditionalFormatting>
  <conditionalFormatting sqref="F157">
    <cfRule type="cellIs" dxfId="224" priority="120" operator="equal">
      <formula>0</formula>
    </cfRule>
  </conditionalFormatting>
  <conditionalFormatting sqref="F164">
    <cfRule type="cellIs" dxfId="223" priority="119" operator="equal">
      <formula>0</formula>
    </cfRule>
  </conditionalFormatting>
  <conditionalFormatting sqref="F171">
    <cfRule type="cellIs" dxfId="222" priority="118" operator="equal">
      <formula>0</formula>
    </cfRule>
  </conditionalFormatting>
  <conditionalFormatting sqref="F178">
    <cfRule type="cellIs" dxfId="221" priority="117" operator="equal">
      <formula>0</formula>
    </cfRule>
  </conditionalFormatting>
  <conditionalFormatting sqref="F185">
    <cfRule type="cellIs" dxfId="220" priority="116" operator="equal">
      <formula>0</formula>
    </cfRule>
  </conditionalFormatting>
  <conditionalFormatting sqref="F192">
    <cfRule type="cellIs" dxfId="219" priority="115" operator="equal">
      <formula>0</formula>
    </cfRule>
  </conditionalFormatting>
  <conditionalFormatting sqref="F199">
    <cfRule type="cellIs" dxfId="218" priority="114" operator="equal">
      <formula>0</formula>
    </cfRule>
  </conditionalFormatting>
  <conditionalFormatting sqref="F206">
    <cfRule type="cellIs" dxfId="217" priority="113" operator="equal">
      <formula>0</formula>
    </cfRule>
  </conditionalFormatting>
  <conditionalFormatting sqref="F213">
    <cfRule type="cellIs" dxfId="216" priority="112" operator="equal">
      <formula>0</formula>
    </cfRule>
  </conditionalFormatting>
  <conditionalFormatting sqref="F220">
    <cfRule type="cellIs" dxfId="215" priority="111" operator="equal">
      <formula>0</formula>
    </cfRule>
  </conditionalFormatting>
  <conditionalFormatting sqref="F227">
    <cfRule type="cellIs" dxfId="214" priority="110" operator="equal">
      <formula>0</formula>
    </cfRule>
  </conditionalFormatting>
  <conditionalFormatting sqref="F234">
    <cfRule type="cellIs" dxfId="213" priority="109" operator="equal">
      <formula>0</formula>
    </cfRule>
  </conditionalFormatting>
  <conditionalFormatting sqref="F241:G241">
    <cfRule type="cellIs" dxfId="212" priority="108" operator="equal">
      <formula>0</formula>
    </cfRule>
  </conditionalFormatting>
  <conditionalFormatting sqref="F248:G248">
    <cfRule type="cellIs" dxfId="211" priority="107" operator="equal">
      <formula>0</formula>
    </cfRule>
  </conditionalFormatting>
  <conditionalFormatting sqref="F255:G255">
    <cfRule type="cellIs" dxfId="210" priority="106" operator="equal">
      <formula>0</formula>
    </cfRule>
  </conditionalFormatting>
  <conditionalFormatting sqref="F262:G262">
    <cfRule type="cellIs" dxfId="209" priority="105" operator="equal">
      <formula>0</formula>
    </cfRule>
  </conditionalFormatting>
  <conditionalFormatting sqref="F269:G269">
    <cfRule type="cellIs" dxfId="208" priority="104" operator="equal">
      <formula>0</formula>
    </cfRule>
  </conditionalFormatting>
  <conditionalFormatting sqref="F276:G276">
    <cfRule type="cellIs" dxfId="207" priority="103" operator="equal">
      <formula>0</formula>
    </cfRule>
  </conditionalFormatting>
  <conditionalFormatting sqref="F283:G283">
    <cfRule type="cellIs" dxfId="206" priority="102" operator="equal">
      <formula>0</formula>
    </cfRule>
  </conditionalFormatting>
  <conditionalFormatting sqref="F290:G290">
    <cfRule type="cellIs" dxfId="205" priority="101" operator="equal">
      <formula>0</formula>
    </cfRule>
  </conditionalFormatting>
  <conditionalFormatting sqref="F297:G297">
    <cfRule type="cellIs" dxfId="204" priority="100" operator="equal">
      <formula>0</formula>
    </cfRule>
  </conditionalFormatting>
  <conditionalFormatting sqref="F304:G304">
    <cfRule type="cellIs" dxfId="203" priority="99" operator="equal">
      <formula>0</formula>
    </cfRule>
  </conditionalFormatting>
  <conditionalFormatting sqref="F367:G367">
    <cfRule type="cellIs" dxfId="202" priority="90" operator="equal">
      <formula>0</formula>
    </cfRule>
  </conditionalFormatting>
  <conditionalFormatting sqref="F311:G311">
    <cfRule type="cellIs" dxfId="201" priority="98" operator="equal">
      <formula>0</formula>
    </cfRule>
  </conditionalFormatting>
  <conditionalFormatting sqref="F318:G318">
    <cfRule type="cellIs" dxfId="200" priority="97" operator="equal">
      <formula>0</formula>
    </cfRule>
  </conditionalFormatting>
  <conditionalFormatting sqref="F325:G325">
    <cfRule type="cellIs" dxfId="199" priority="96" operator="equal">
      <formula>0</formula>
    </cfRule>
  </conditionalFormatting>
  <conditionalFormatting sqref="F339:G339">
    <cfRule type="cellIs" dxfId="198" priority="94" operator="equal">
      <formula>0</formula>
    </cfRule>
  </conditionalFormatting>
  <conditionalFormatting sqref="F346:G346">
    <cfRule type="cellIs" dxfId="197" priority="93" operator="equal">
      <formula>0</formula>
    </cfRule>
  </conditionalFormatting>
  <conditionalFormatting sqref="F353:G353">
    <cfRule type="cellIs" dxfId="196" priority="92" operator="equal">
      <formula>0</formula>
    </cfRule>
  </conditionalFormatting>
  <conditionalFormatting sqref="F360:G360">
    <cfRule type="cellIs" dxfId="195" priority="91" operator="equal">
      <formula>0</formula>
    </cfRule>
  </conditionalFormatting>
  <conditionalFormatting sqref="I367">
    <cfRule type="cellIs" dxfId="194" priority="35" operator="equal">
      <formula>0.007</formula>
    </cfRule>
  </conditionalFormatting>
  <conditionalFormatting sqref="H10">
    <cfRule type="cellIs" dxfId="193" priority="86" operator="equal">
      <formula>0</formula>
    </cfRule>
  </conditionalFormatting>
  <conditionalFormatting sqref="I24">
    <cfRule type="cellIs" dxfId="192" priority="85" operator="equal">
      <formula>0.007</formula>
    </cfRule>
  </conditionalFormatting>
  <conditionalFormatting sqref="I31">
    <cfRule type="cellIs" dxfId="191" priority="84" operator="equal">
      <formula>0.007</formula>
    </cfRule>
  </conditionalFormatting>
  <conditionalFormatting sqref="I38">
    <cfRule type="cellIs" dxfId="190" priority="83" operator="equal">
      <formula>0.007</formula>
    </cfRule>
  </conditionalFormatting>
  <conditionalFormatting sqref="I45">
    <cfRule type="cellIs" dxfId="189" priority="82" operator="equal">
      <formula>0.007</formula>
    </cfRule>
  </conditionalFormatting>
  <conditionalFormatting sqref="I52">
    <cfRule type="cellIs" dxfId="188" priority="81" operator="equal">
      <formula>0.007</formula>
    </cfRule>
  </conditionalFormatting>
  <conditionalFormatting sqref="I59">
    <cfRule type="cellIs" dxfId="187" priority="80" operator="equal">
      <formula>0.007</formula>
    </cfRule>
  </conditionalFormatting>
  <conditionalFormatting sqref="I66">
    <cfRule type="cellIs" dxfId="186" priority="79" operator="equal">
      <formula>0.007</formula>
    </cfRule>
  </conditionalFormatting>
  <conditionalFormatting sqref="I73">
    <cfRule type="cellIs" dxfId="185" priority="78" operator="equal">
      <formula>0.007</formula>
    </cfRule>
  </conditionalFormatting>
  <conditionalFormatting sqref="I80">
    <cfRule type="cellIs" dxfId="184" priority="77" operator="equal">
      <formula>0.007</formula>
    </cfRule>
  </conditionalFormatting>
  <conditionalFormatting sqref="I87">
    <cfRule type="cellIs" dxfId="183" priority="76" operator="equal">
      <formula>0.007</formula>
    </cfRule>
  </conditionalFormatting>
  <conditionalFormatting sqref="I94">
    <cfRule type="cellIs" dxfId="182" priority="75" operator="equal">
      <formula>0.007</formula>
    </cfRule>
  </conditionalFormatting>
  <conditionalFormatting sqref="I101">
    <cfRule type="cellIs" dxfId="181" priority="74" operator="equal">
      <formula>0.007</formula>
    </cfRule>
  </conditionalFormatting>
  <conditionalFormatting sqref="I108">
    <cfRule type="cellIs" dxfId="180" priority="73" operator="equal">
      <formula>0.007</formula>
    </cfRule>
  </conditionalFormatting>
  <conditionalFormatting sqref="I115">
    <cfRule type="cellIs" dxfId="179" priority="72" operator="equal">
      <formula>0.007</formula>
    </cfRule>
  </conditionalFormatting>
  <conditionalFormatting sqref="I122">
    <cfRule type="cellIs" dxfId="178" priority="71" operator="equal">
      <formula>0.007</formula>
    </cfRule>
  </conditionalFormatting>
  <conditionalFormatting sqref="I129">
    <cfRule type="cellIs" dxfId="177" priority="70" operator="equal">
      <formula>0.007</formula>
    </cfRule>
  </conditionalFormatting>
  <conditionalFormatting sqref="I136">
    <cfRule type="cellIs" dxfId="176" priority="69" operator="equal">
      <formula>0.007</formula>
    </cfRule>
  </conditionalFormatting>
  <conditionalFormatting sqref="I143">
    <cfRule type="cellIs" dxfId="175" priority="68" operator="equal">
      <formula>0.007</formula>
    </cfRule>
  </conditionalFormatting>
  <conditionalFormatting sqref="I150">
    <cfRule type="cellIs" dxfId="174" priority="67" operator="equal">
      <formula>0.007</formula>
    </cfRule>
  </conditionalFormatting>
  <conditionalFormatting sqref="I157">
    <cfRule type="cellIs" dxfId="173" priority="66" operator="equal">
      <formula>0.007</formula>
    </cfRule>
  </conditionalFormatting>
  <conditionalFormatting sqref="I164">
    <cfRule type="cellIs" dxfId="172" priority="65" operator="equal">
      <formula>0.007</formula>
    </cfRule>
  </conditionalFormatting>
  <conditionalFormatting sqref="I171">
    <cfRule type="cellIs" dxfId="171" priority="64" operator="equal">
      <formula>0.007</formula>
    </cfRule>
  </conditionalFormatting>
  <conditionalFormatting sqref="I178">
    <cfRule type="cellIs" dxfId="170" priority="63" operator="equal">
      <formula>0.007</formula>
    </cfRule>
  </conditionalFormatting>
  <conditionalFormatting sqref="I185">
    <cfRule type="cellIs" dxfId="169" priority="62" operator="equal">
      <formula>0.007</formula>
    </cfRule>
  </conditionalFormatting>
  <conditionalFormatting sqref="I192">
    <cfRule type="cellIs" dxfId="168" priority="61" operator="equal">
      <formula>0.007</formula>
    </cfRule>
  </conditionalFormatting>
  <conditionalFormatting sqref="I199">
    <cfRule type="cellIs" dxfId="167" priority="60" operator="equal">
      <formula>0.007</formula>
    </cfRule>
  </conditionalFormatting>
  <conditionalFormatting sqref="I206">
    <cfRule type="cellIs" dxfId="166" priority="59" operator="equal">
      <formula>0.007</formula>
    </cfRule>
  </conditionalFormatting>
  <conditionalFormatting sqref="I213">
    <cfRule type="cellIs" dxfId="165" priority="58" operator="equal">
      <formula>0.007</formula>
    </cfRule>
  </conditionalFormatting>
  <conditionalFormatting sqref="I220">
    <cfRule type="cellIs" dxfId="164" priority="57" operator="equal">
      <formula>0.007</formula>
    </cfRule>
  </conditionalFormatting>
  <conditionalFormatting sqref="I227">
    <cfRule type="cellIs" dxfId="163" priority="56" operator="equal">
      <formula>0.007</formula>
    </cfRule>
  </conditionalFormatting>
  <conditionalFormatting sqref="I234">
    <cfRule type="cellIs" dxfId="162" priority="55" operator="equal">
      <formula>0.007</formula>
    </cfRule>
  </conditionalFormatting>
  <conditionalFormatting sqref="I241">
    <cfRule type="cellIs" dxfId="161" priority="54" operator="equal">
      <formula>0.007</formula>
    </cfRule>
  </conditionalFormatting>
  <conditionalFormatting sqref="I248">
    <cfRule type="cellIs" dxfId="160" priority="53" operator="equal">
      <formula>0.007</formula>
    </cfRule>
  </conditionalFormatting>
  <conditionalFormatting sqref="I255">
    <cfRule type="cellIs" dxfId="159" priority="52" operator="equal">
      <formula>0.007</formula>
    </cfRule>
  </conditionalFormatting>
  <conditionalFormatting sqref="I262">
    <cfRule type="cellIs" dxfId="158" priority="51" operator="equal">
      <formula>0.007</formula>
    </cfRule>
  </conditionalFormatting>
  <conditionalFormatting sqref="I269">
    <cfRule type="cellIs" dxfId="157" priority="50" operator="equal">
      <formula>0.007</formula>
    </cfRule>
  </conditionalFormatting>
  <conditionalFormatting sqref="I276">
    <cfRule type="cellIs" dxfId="156" priority="49" operator="equal">
      <formula>0.007</formula>
    </cfRule>
  </conditionalFormatting>
  <conditionalFormatting sqref="I283">
    <cfRule type="cellIs" dxfId="155" priority="48" operator="equal">
      <formula>0.007</formula>
    </cfRule>
  </conditionalFormatting>
  <conditionalFormatting sqref="I290">
    <cfRule type="cellIs" dxfId="154" priority="47" operator="equal">
      <formula>0.007</formula>
    </cfRule>
  </conditionalFormatting>
  <conditionalFormatting sqref="I297">
    <cfRule type="cellIs" dxfId="153" priority="46" operator="equal">
      <formula>0.007</formula>
    </cfRule>
  </conditionalFormatting>
  <conditionalFormatting sqref="I304">
    <cfRule type="cellIs" dxfId="152" priority="45" operator="equal">
      <formula>0.007</formula>
    </cfRule>
  </conditionalFormatting>
  <conditionalFormatting sqref="I311">
    <cfRule type="cellIs" dxfId="151" priority="44" operator="equal">
      <formula>0.007</formula>
    </cfRule>
  </conditionalFormatting>
  <conditionalFormatting sqref="I318">
    <cfRule type="cellIs" dxfId="150" priority="43" operator="equal">
      <formula>0.007</formula>
    </cfRule>
  </conditionalFormatting>
  <conditionalFormatting sqref="I325">
    <cfRule type="cellIs" dxfId="149" priority="42" operator="equal">
      <formula>0.007</formula>
    </cfRule>
  </conditionalFormatting>
  <conditionalFormatting sqref="I332">
    <cfRule type="cellIs" dxfId="148" priority="41" operator="equal">
      <formula>0.007</formula>
    </cfRule>
  </conditionalFormatting>
  <conditionalFormatting sqref="I339">
    <cfRule type="cellIs" dxfId="147" priority="40" operator="equal">
      <formula>0.007</formula>
    </cfRule>
  </conditionalFormatting>
  <conditionalFormatting sqref="I346">
    <cfRule type="cellIs" dxfId="146" priority="39" operator="equal">
      <formula>0.007</formula>
    </cfRule>
  </conditionalFormatting>
  <conditionalFormatting sqref="I353">
    <cfRule type="cellIs" dxfId="145" priority="38" operator="equal">
      <formula>0.007</formula>
    </cfRule>
  </conditionalFormatting>
  <conditionalFormatting sqref="I360">
    <cfRule type="cellIs" dxfId="144" priority="37" operator="equal">
      <formula>0.007</formula>
    </cfRule>
  </conditionalFormatting>
  <conditionalFormatting sqref="G10">
    <cfRule type="cellIs" dxfId="143" priority="34" operator="equal">
      <formula>0</formula>
    </cfRule>
  </conditionalFormatting>
  <conditionalFormatting sqref="G17">
    <cfRule type="cellIs" dxfId="142" priority="33" operator="equal">
      <formula>0</formula>
    </cfRule>
  </conditionalFormatting>
  <conditionalFormatting sqref="G24">
    <cfRule type="cellIs" dxfId="141" priority="32" operator="equal">
      <formula>0</formula>
    </cfRule>
  </conditionalFormatting>
  <conditionalFormatting sqref="G31">
    <cfRule type="cellIs" dxfId="140" priority="31" operator="equal">
      <formula>0</formula>
    </cfRule>
  </conditionalFormatting>
  <conditionalFormatting sqref="G38">
    <cfRule type="cellIs" dxfId="139" priority="30" operator="equal">
      <formula>0</formula>
    </cfRule>
  </conditionalFormatting>
  <conditionalFormatting sqref="G45">
    <cfRule type="cellIs" dxfId="138" priority="29" operator="equal">
      <formula>0</formula>
    </cfRule>
  </conditionalFormatting>
  <conditionalFormatting sqref="G52">
    <cfRule type="cellIs" dxfId="137" priority="28" operator="equal">
      <formula>0</formula>
    </cfRule>
  </conditionalFormatting>
  <conditionalFormatting sqref="G59">
    <cfRule type="cellIs" dxfId="136" priority="27" operator="equal">
      <formula>0</formula>
    </cfRule>
  </conditionalFormatting>
  <conditionalFormatting sqref="G66">
    <cfRule type="cellIs" dxfId="135" priority="26" operator="equal">
      <formula>0</formula>
    </cfRule>
  </conditionalFormatting>
  <conditionalFormatting sqref="G73">
    <cfRule type="cellIs" dxfId="134" priority="25" operator="equal">
      <formula>0</formula>
    </cfRule>
  </conditionalFormatting>
  <conditionalFormatting sqref="G80">
    <cfRule type="cellIs" dxfId="133" priority="24" operator="equal">
      <formula>0</formula>
    </cfRule>
  </conditionalFormatting>
  <conditionalFormatting sqref="G87">
    <cfRule type="cellIs" dxfId="132" priority="23" operator="equal">
      <formula>0</formula>
    </cfRule>
  </conditionalFormatting>
  <conditionalFormatting sqref="G94">
    <cfRule type="cellIs" dxfId="131" priority="22" operator="equal">
      <formula>0</formula>
    </cfRule>
  </conditionalFormatting>
  <conditionalFormatting sqref="G101">
    <cfRule type="cellIs" dxfId="130" priority="21" operator="equal">
      <formula>0</formula>
    </cfRule>
  </conditionalFormatting>
  <conditionalFormatting sqref="G108">
    <cfRule type="cellIs" dxfId="129" priority="20" operator="equal">
      <formula>0</formula>
    </cfRule>
  </conditionalFormatting>
  <conditionalFormatting sqref="G115">
    <cfRule type="cellIs" dxfId="128" priority="19" operator="equal">
      <formula>0</formula>
    </cfRule>
  </conditionalFormatting>
  <conditionalFormatting sqref="G122">
    <cfRule type="cellIs" dxfId="127" priority="18" operator="equal">
      <formula>0</formula>
    </cfRule>
  </conditionalFormatting>
  <conditionalFormatting sqref="G129">
    <cfRule type="cellIs" dxfId="126" priority="17" operator="equal">
      <formula>0</formula>
    </cfRule>
  </conditionalFormatting>
  <conditionalFormatting sqref="G136">
    <cfRule type="cellIs" dxfId="125" priority="16" operator="equal">
      <formula>0</formula>
    </cfRule>
  </conditionalFormatting>
  <conditionalFormatting sqref="G143">
    <cfRule type="cellIs" dxfId="124" priority="15" operator="equal">
      <formula>0</formula>
    </cfRule>
  </conditionalFormatting>
  <conditionalFormatting sqref="G150">
    <cfRule type="cellIs" dxfId="123" priority="14" operator="equal">
      <formula>0</formula>
    </cfRule>
  </conditionalFormatting>
  <conditionalFormatting sqref="G157">
    <cfRule type="cellIs" dxfId="122" priority="13" operator="equal">
      <formula>0</formula>
    </cfRule>
  </conditionalFormatting>
  <conditionalFormatting sqref="G164">
    <cfRule type="cellIs" dxfId="121" priority="12" operator="equal">
      <formula>0</formula>
    </cfRule>
  </conditionalFormatting>
  <conditionalFormatting sqref="G171">
    <cfRule type="cellIs" dxfId="120" priority="11" operator="equal">
      <formula>0</formula>
    </cfRule>
  </conditionalFormatting>
  <conditionalFormatting sqref="G178">
    <cfRule type="cellIs" dxfId="119" priority="10" operator="equal">
      <formula>0</formula>
    </cfRule>
  </conditionalFormatting>
  <conditionalFormatting sqref="G185">
    <cfRule type="cellIs" dxfId="118" priority="9" operator="equal">
      <formula>0</formula>
    </cfRule>
  </conditionalFormatting>
  <conditionalFormatting sqref="G192">
    <cfRule type="cellIs" dxfId="117" priority="8" operator="equal">
      <formula>0</formula>
    </cfRule>
  </conditionalFormatting>
  <conditionalFormatting sqref="G199">
    <cfRule type="cellIs" dxfId="116" priority="7" operator="equal">
      <formula>0</formula>
    </cfRule>
  </conditionalFormatting>
  <conditionalFormatting sqref="G206">
    <cfRule type="cellIs" dxfId="115" priority="6" operator="equal">
      <formula>0</formula>
    </cfRule>
  </conditionalFormatting>
  <conditionalFormatting sqref="G213">
    <cfRule type="cellIs" dxfId="114" priority="5" operator="equal">
      <formula>0</formula>
    </cfRule>
  </conditionalFormatting>
  <conditionalFormatting sqref="G220">
    <cfRule type="cellIs" dxfId="113" priority="4" operator="equal">
      <formula>0</formula>
    </cfRule>
  </conditionalFormatting>
  <conditionalFormatting sqref="G227">
    <cfRule type="cellIs" dxfId="112" priority="3" operator="equal">
      <formula>0</formula>
    </cfRule>
  </conditionalFormatting>
  <conditionalFormatting sqref="G234">
    <cfRule type="cellIs" dxfId="111" priority="2" operator="equal">
      <formula>0</formula>
    </cfRule>
  </conditionalFormatting>
  <conditionalFormatting sqref="I10">
    <cfRule type="cellIs" dxfId="110" priority="1" operator="equal">
      <formula>0.007</formula>
    </cfRule>
  </conditionalFormatting>
  <pageMargins left="0.7" right="0.7" top="0.75" bottom="0.75" header="0.3" footer="0.3"/>
  <pageSetup orientation="portrait"/>
  <ignoredErrors>
    <ignoredError sqref="L17 N17:O17" evalError="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7"/>
  <sheetViews>
    <sheetView zoomScale="85" zoomScaleNormal="85" zoomScalePageLayoutView="85" workbookViewId="0">
      <selection activeCell="D9" sqref="D9"/>
    </sheetView>
  </sheetViews>
  <sheetFormatPr baseColWidth="10" defaultColWidth="8.83203125" defaultRowHeight="14" x14ac:dyDescent="0"/>
  <cols>
    <col min="1" max="1" width="24.33203125" style="1" bestFit="1" customWidth="1"/>
    <col min="2" max="2" width="7.6640625" style="4" bestFit="1" customWidth="1"/>
    <col min="3" max="3" width="10.83203125" style="4" bestFit="1" customWidth="1"/>
    <col min="4" max="4" width="9.83203125" style="2" bestFit="1" customWidth="1"/>
    <col min="5" max="5" width="10.6640625" style="4" hidden="1" customWidth="1"/>
    <col min="6" max="6" width="8" style="4" bestFit="1" customWidth="1"/>
    <col min="7" max="7" width="15.5" style="4" bestFit="1" customWidth="1"/>
    <col min="8" max="8" width="18.33203125" style="34" bestFit="1" customWidth="1"/>
    <col min="9" max="9" width="10.83203125" bestFit="1" customWidth="1"/>
    <col min="10" max="10" width="11.83203125" bestFit="1" customWidth="1"/>
    <col min="11" max="11" width="10.83203125" bestFit="1" customWidth="1"/>
    <col min="12" max="12" width="16.1640625" bestFit="1" customWidth="1"/>
    <col min="13" max="13" width="10.5" bestFit="1" customWidth="1"/>
    <col min="14" max="14" width="11.5" bestFit="1" customWidth="1"/>
    <col min="15" max="15" width="15.33203125" bestFit="1" customWidth="1"/>
    <col min="16" max="16" width="13.5" bestFit="1" customWidth="1"/>
  </cols>
  <sheetData>
    <row r="1" spans="1:16">
      <c r="A1" s="176" t="s">
        <v>0</v>
      </c>
      <c r="B1" s="174" t="s">
        <v>1</v>
      </c>
      <c r="C1" s="174" t="s">
        <v>31</v>
      </c>
      <c r="D1" s="172" t="s">
        <v>32</v>
      </c>
      <c r="E1" s="174" t="s">
        <v>34</v>
      </c>
      <c r="F1" s="174" t="s">
        <v>15</v>
      </c>
      <c r="G1" s="174" t="s">
        <v>2</v>
      </c>
      <c r="H1" s="184" t="s">
        <v>3</v>
      </c>
      <c r="I1" s="180" t="s">
        <v>4</v>
      </c>
      <c r="J1" s="180"/>
      <c r="K1" s="180"/>
      <c r="L1" s="180"/>
      <c r="M1" s="180"/>
      <c r="N1" s="180"/>
      <c r="O1" s="178" t="s">
        <v>24</v>
      </c>
      <c r="P1" s="170" t="s">
        <v>23</v>
      </c>
    </row>
    <row r="2" spans="1:16" ht="15" thickBot="1">
      <c r="A2" s="177"/>
      <c r="B2" s="175"/>
      <c r="C2" s="175"/>
      <c r="D2" s="173"/>
      <c r="E2" s="175"/>
      <c r="F2" s="175"/>
      <c r="G2" s="175"/>
      <c r="H2" s="185"/>
      <c r="I2" s="181"/>
      <c r="J2" s="181"/>
      <c r="K2" s="181"/>
      <c r="L2" s="181"/>
      <c r="M2" s="181"/>
      <c r="N2" s="181"/>
      <c r="O2" s="179"/>
      <c r="P2" s="171"/>
    </row>
    <row r="3" spans="1:16">
      <c r="A3" s="14">
        <f>INPUTS!B3</f>
        <v>42149</v>
      </c>
      <c r="B3" s="26"/>
      <c r="C3" s="28"/>
      <c r="D3" s="28"/>
      <c r="E3" s="28"/>
      <c r="F3" s="29">
        <f>IFERROR(IF(INPUTS!B4="Male", 86.01*LOG(C3-D3)-70.041*LOG(INPUTS!B$7)+30.3, 163.205*LOG(C3+E3-D3)-97.684*LOG(INPUTS!B$7)-104.912),0)</f>
        <v>0</v>
      </c>
      <c r="G3" s="15"/>
      <c r="H3" s="31"/>
      <c r="I3" s="17"/>
      <c r="J3" s="17"/>
      <c r="K3" s="17"/>
      <c r="L3" s="17"/>
      <c r="M3" s="17"/>
      <c r="N3" s="17"/>
      <c r="O3" s="18">
        <f>INPUTS!B10</f>
        <v>2330.4</v>
      </c>
      <c r="P3" s="17"/>
    </row>
    <row r="4" spans="1:16">
      <c r="A4" s="7">
        <f>A3+1</f>
        <v>42150</v>
      </c>
      <c r="B4" s="27"/>
      <c r="C4" s="8"/>
      <c r="D4" s="9"/>
      <c r="E4" s="8"/>
      <c r="F4" s="8"/>
      <c r="G4" s="8"/>
      <c r="H4" s="32"/>
      <c r="I4" s="10"/>
      <c r="J4" s="10"/>
      <c r="K4" s="10"/>
      <c r="L4" s="10"/>
      <c r="M4" s="10"/>
      <c r="N4" s="10"/>
      <c r="O4" s="19"/>
      <c r="P4" s="10"/>
    </row>
    <row r="5" spans="1:16">
      <c r="A5" s="7">
        <f t="shared" ref="A5:A68" si="0">A4+1</f>
        <v>42151</v>
      </c>
      <c r="B5" s="27"/>
      <c r="C5" s="8"/>
      <c r="D5" s="9"/>
      <c r="E5" s="8"/>
      <c r="F5" s="8"/>
      <c r="G5" s="8"/>
      <c r="H5" s="32"/>
      <c r="I5" s="10"/>
      <c r="J5" s="10"/>
      <c r="K5" s="10"/>
      <c r="L5" s="10"/>
      <c r="M5" s="10"/>
      <c r="N5" s="10"/>
      <c r="O5" s="19"/>
      <c r="P5" s="10"/>
    </row>
    <row r="6" spans="1:16">
      <c r="A6" s="7">
        <f t="shared" si="0"/>
        <v>42152</v>
      </c>
      <c r="B6" s="27"/>
      <c r="C6" s="8"/>
      <c r="D6" s="9"/>
      <c r="E6" s="8"/>
      <c r="F6" s="8"/>
      <c r="G6" s="8"/>
      <c r="H6" s="32"/>
      <c r="I6" s="10"/>
      <c r="J6" s="10"/>
      <c r="K6" s="10"/>
      <c r="L6" s="10"/>
      <c r="M6" s="10"/>
      <c r="N6" s="10"/>
      <c r="O6" s="19"/>
      <c r="P6" s="10"/>
    </row>
    <row r="7" spans="1:16">
      <c r="A7" s="7">
        <f t="shared" si="0"/>
        <v>42153</v>
      </c>
      <c r="B7" s="27"/>
      <c r="C7" s="8"/>
      <c r="D7" s="9"/>
      <c r="E7" s="8"/>
      <c r="F7" s="8"/>
      <c r="G7" s="8"/>
      <c r="H7" s="32"/>
      <c r="I7" s="10"/>
      <c r="J7" s="10"/>
      <c r="K7" s="10"/>
      <c r="L7" s="10"/>
      <c r="M7" s="10"/>
      <c r="N7" s="10"/>
      <c r="O7" s="19"/>
      <c r="P7" s="10"/>
    </row>
    <row r="8" spans="1:16">
      <c r="A8" s="7">
        <f t="shared" si="0"/>
        <v>42154</v>
      </c>
      <c r="B8" s="27"/>
      <c r="C8" s="8"/>
      <c r="D8" s="9"/>
      <c r="E8" s="8"/>
      <c r="F8" s="8"/>
      <c r="G8" s="8"/>
      <c r="H8" s="32"/>
      <c r="I8" s="10"/>
      <c r="J8" s="10"/>
      <c r="K8" s="10"/>
      <c r="L8" s="10"/>
      <c r="M8" s="10"/>
      <c r="N8" s="10"/>
      <c r="O8" s="19"/>
      <c r="P8" s="10"/>
    </row>
    <row r="9" spans="1:16">
      <c r="A9" s="7">
        <f t="shared" si="0"/>
        <v>42155</v>
      </c>
      <c r="B9" s="27"/>
      <c r="C9" s="8"/>
      <c r="D9" s="9"/>
      <c r="E9" s="8"/>
      <c r="F9" s="8"/>
      <c r="G9" s="8"/>
      <c r="H9" s="32"/>
      <c r="I9" s="10"/>
      <c r="J9" s="10"/>
      <c r="K9" s="10"/>
      <c r="L9" s="10"/>
      <c r="M9" s="10"/>
      <c r="N9" s="10"/>
      <c r="O9" s="19"/>
      <c r="P9" s="10"/>
    </row>
    <row r="10" spans="1:16">
      <c r="A10" s="7">
        <f t="shared" si="0"/>
        <v>42156</v>
      </c>
      <c r="B10" s="27"/>
      <c r="C10" s="27"/>
      <c r="D10" s="21"/>
      <c r="E10" s="27"/>
      <c r="F10" s="29">
        <f>IFERROR(IF(INPUTS!B10="Male", 86.01*LOG(C10-D10)-70.041*LOG(INPUTS!B$7)+30.3, 163.205*LOG('BULKING TRACKER'!C10+'BULKING TRACKER'!E10-'BULKING TRACKER'!D10)-97.684*LOG(INPUTS!B$7)-104.912),0)</f>
        <v>0</v>
      </c>
      <c r="G10" s="11">
        <f>IFERROR((AVERAGE(B3:B10)),0)</f>
        <v>0</v>
      </c>
      <c r="H10" s="33"/>
      <c r="I10" s="10"/>
      <c r="J10" s="10"/>
      <c r="K10" s="10"/>
      <c r="L10" s="10"/>
      <c r="M10" s="10"/>
      <c r="N10" s="10"/>
      <c r="O10" s="19"/>
      <c r="P10" s="10"/>
    </row>
    <row r="11" spans="1:16">
      <c r="A11" s="7">
        <f t="shared" si="0"/>
        <v>42157</v>
      </c>
      <c r="B11" s="27"/>
      <c r="C11" s="8"/>
      <c r="D11" s="9"/>
      <c r="E11" s="8"/>
      <c r="F11" s="8"/>
      <c r="G11" s="8"/>
      <c r="H11" s="32"/>
      <c r="I11" s="10"/>
      <c r="J11" s="10"/>
      <c r="K11" s="10"/>
      <c r="L11" s="10"/>
      <c r="M11" s="10"/>
      <c r="N11" s="10"/>
      <c r="O11" s="19"/>
      <c r="P11" s="10"/>
    </row>
    <row r="12" spans="1:16">
      <c r="A12" s="7">
        <f t="shared" si="0"/>
        <v>42158</v>
      </c>
      <c r="B12" s="27"/>
      <c r="C12" s="8"/>
      <c r="D12" s="9"/>
      <c r="E12" s="8"/>
      <c r="F12" s="8"/>
      <c r="G12" s="8"/>
      <c r="H12" s="32"/>
      <c r="I12" s="10"/>
      <c r="J12" s="10"/>
      <c r="K12" s="10"/>
      <c r="L12" s="10"/>
      <c r="M12" s="10"/>
      <c r="N12" s="10"/>
      <c r="O12" s="19"/>
      <c r="P12" s="10"/>
    </row>
    <row r="13" spans="1:16">
      <c r="A13" s="7">
        <f t="shared" si="0"/>
        <v>42159</v>
      </c>
      <c r="B13" s="27"/>
      <c r="C13" s="8"/>
      <c r="D13" s="9"/>
      <c r="E13" s="8"/>
      <c r="F13" s="8"/>
      <c r="G13" s="8"/>
      <c r="H13" s="32"/>
      <c r="I13" s="10"/>
      <c r="J13" s="10"/>
      <c r="K13" s="10"/>
      <c r="L13" s="10"/>
      <c r="M13" s="10"/>
      <c r="N13" s="10"/>
      <c r="O13" s="19"/>
      <c r="P13" s="10"/>
    </row>
    <row r="14" spans="1:16">
      <c r="A14" s="7">
        <f t="shared" si="0"/>
        <v>42160</v>
      </c>
      <c r="B14" s="27"/>
      <c r="C14" s="8"/>
      <c r="D14" s="9"/>
      <c r="E14" s="8"/>
      <c r="F14" s="8"/>
      <c r="G14" s="8"/>
      <c r="H14" s="32"/>
      <c r="I14" s="10"/>
      <c r="J14" s="10"/>
      <c r="K14" s="10"/>
      <c r="L14" s="10"/>
      <c r="M14" s="10"/>
      <c r="N14" s="10"/>
      <c r="O14" s="19"/>
      <c r="P14" s="10"/>
    </row>
    <row r="15" spans="1:16">
      <c r="A15" s="7">
        <f t="shared" si="0"/>
        <v>42161</v>
      </c>
      <c r="B15" s="27"/>
      <c r="C15" s="8"/>
      <c r="D15" s="9"/>
      <c r="E15" s="8"/>
      <c r="F15" s="8"/>
      <c r="G15" s="8"/>
      <c r="H15" s="32"/>
      <c r="I15" s="10"/>
      <c r="J15" s="10"/>
      <c r="K15" s="10"/>
      <c r="L15" s="10"/>
      <c r="M15" s="10"/>
      <c r="N15" s="10"/>
      <c r="O15" s="19"/>
      <c r="P15" s="10"/>
    </row>
    <row r="16" spans="1:16">
      <c r="A16" s="7">
        <f t="shared" si="0"/>
        <v>42162</v>
      </c>
      <c r="B16" s="27"/>
      <c r="C16" s="8"/>
      <c r="D16" s="9"/>
      <c r="E16" s="8"/>
      <c r="F16" s="8"/>
      <c r="G16" s="8"/>
      <c r="H16" s="32"/>
      <c r="I16" s="10"/>
      <c r="J16" s="10"/>
      <c r="K16" s="10"/>
      <c r="L16" s="10"/>
      <c r="M16" s="10"/>
      <c r="N16" s="10"/>
      <c r="O16" s="19"/>
      <c r="P16" s="10"/>
    </row>
    <row r="17" spans="1:16">
      <c r="A17" s="7">
        <f t="shared" si="0"/>
        <v>42163</v>
      </c>
      <c r="B17" s="27"/>
      <c r="C17" s="27"/>
      <c r="D17" s="21"/>
      <c r="E17" s="27"/>
      <c r="F17" s="29">
        <f>IFERROR(IF(INPUTS!B18="Male", 86.01*LOG(C17-D17)-70.041*LOG(INPUTS!B$7)+30.3, 163.205*LOG('BULKING TRACKER'!C17+'BULKING TRACKER'!E17-'BULKING TRACKER'!D17)-97.684*LOG(INPUTS!B$7)-104.912),0)</f>
        <v>0</v>
      </c>
      <c r="G17" s="11">
        <f>IFERROR((AVERAGE(B11:B17)),0)</f>
        <v>0</v>
      </c>
      <c r="H17" s="30">
        <f>IFERROR(IF(B17&gt;0, (G10-G17)/G10,0.007), 0)</f>
        <v>7.0000000000000001E-3</v>
      </c>
      <c r="I17" s="13" t="str">
        <f>IF(H17&lt;-0.005, "Add 200kcal", "")</f>
        <v/>
      </c>
      <c r="J17" s="13" t="str">
        <f>IF(AND(H17&gt;=-0.005, H17&lt;-0.001), "Add 100kcal", "")</f>
        <v/>
      </c>
      <c r="K17" s="13" t="str">
        <f>IF(AND(H17&lt;0.001, H17&gt;=-0.001), "Add 50kcal", "")</f>
        <v/>
      </c>
      <c r="L17" s="13" t="str">
        <f>IF(AND(H17&lt;=0.003, H17&gt;=0.001), "Remain Constant", " ")</f>
        <v xml:space="preserve"> </v>
      </c>
      <c r="M17" s="13" t="str">
        <f>IF(AND(H17&gt;0.003,H17&lt;=0.005), "Cut 50kcal", "")</f>
        <v/>
      </c>
      <c r="N17" s="13" t="str">
        <f>IF(H17&gt;0.005, "Cut 100kcal", "")</f>
        <v>Cut 100kcal</v>
      </c>
      <c r="O17" s="20"/>
      <c r="P17" s="5" t="str">
        <f>IF(O17&gt;0,$O$3+O17,"")</f>
        <v/>
      </c>
    </row>
    <row r="18" spans="1:16">
      <c r="A18" s="7">
        <f t="shared" si="0"/>
        <v>42164</v>
      </c>
      <c r="B18" s="27"/>
      <c r="C18" s="8"/>
      <c r="D18" s="9"/>
      <c r="E18" s="8"/>
      <c r="F18" s="8"/>
      <c r="G18" s="8"/>
      <c r="H18" s="32"/>
      <c r="I18" s="9"/>
      <c r="J18" s="9"/>
      <c r="K18" s="8"/>
      <c r="L18" s="9"/>
      <c r="M18" s="9"/>
      <c r="N18" s="9"/>
      <c r="O18" s="19"/>
      <c r="P18" s="10"/>
    </row>
    <row r="19" spans="1:16">
      <c r="A19" s="7">
        <f t="shared" si="0"/>
        <v>42165</v>
      </c>
      <c r="B19" s="27"/>
      <c r="C19" s="8"/>
      <c r="D19" s="9"/>
      <c r="E19" s="8"/>
      <c r="F19" s="8"/>
      <c r="G19" s="8"/>
      <c r="H19" s="32"/>
      <c r="I19" s="9"/>
      <c r="J19" s="9"/>
      <c r="K19" s="8"/>
      <c r="L19" s="9"/>
      <c r="M19" s="9"/>
      <c r="N19" s="9"/>
      <c r="O19" s="19"/>
      <c r="P19" s="10"/>
    </row>
    <row r="20" spans="1:16">
      <c r="A20" s="7">
        <f t="shared" si="0"/>
        <v>42166</v>
      </c>
      <c r="B20" s="27"/>
      <c r="C20" s="8"/>
      <c r="D20" s="9"/>
      <c r="E20" s="8"/>
      <c r="F20" s="8"/>
      <c r="G20" s="8"/>
      <c r="H20" s="32"/>
      <c r="I20" s="9"/>
      <c r="J20" s="9"/>
      <c r="K20" s="8"/>
      <c r="L20" s="9"/>
      <c r="M20" s="9"/>
      <c r="N20" s="9"/>
      <c r="O20" s="19"/>
      <c r="P20" s="10"/>
    </row>
    <row r="21" spans="1:16">
      <c r="A21" s="7">
        <f t="shared" si="0"/>
        <v>42167</v>
      </c>
      <c r="B21" s="27"/>
      <c r="C21" s="8"/>
      <c r="D21" s="9"/>
      <c r="E21" s="8"/>
      <c r="F21" s="8"/>
      <c r="G21" s="8"/>
      <c r="H21" s="32"/>
      <c r="I21" s="9"/>
      <c r="J21" s="9"/>
      <c r="K21" s="8"/>
      <c r="L21" s="9"/>
      <c r="M21" s="9"/>
      <c r="N21" s="9"/>
      <c r="O21" s="19"/>
      <c r="P21" s="10"/>
    </row>
    <row r="22" spans="1:16">
      <c r="A22" s="7">
        <f t="shared" si="0"/>
        <v>42168</v>
      </c>
      <c r="B22" s="27"/>
      <c r="C22" s="8"/>
      <c r="D22" s="9"/>
      <c r="E22" s="8"/>
      <c r="F22" s="8"/>
      <c r="G22" s="8"/>
      <c r="H22" s="32"/>
      <c r="I22" s="9"/>
      <c r="J22" s="9"/>
      <c r="K22" s="8"/>
      <c r="L22" s="9"/>
      <c r="M22" s="9"/>
      <c r="N22" s="9"/>
      <c r="O22" s="19"/>
      <c r="P22" s="10"/>
    </row>
    <row r="23" spans="1:16">
      <c r="A23" s="7">
        <f t="shared" si="0"/>
        <v>42169</v>
      </c>
      <c r="B23" s="27"/>
      <c r="C23" s="8"/>
      <c r="D23" s="9"/>
      <c r="E23" s="8"/>
      <c r="F23" s="8"/>
      <c r="G23" s="8"/>
      <c r="H23" s="32"/>
      <c r="I23" s="9"/>
      <c r="J23" s="9"/>
      <c r="K23" s="8"/>
      <c r="L23" s="9"/>
      <c r="M23" s="9"/>
      <c r="N23" s="9"/>
      <c r="O23" s="19"/>
      <c r="P23" s="10"/>
    </row>
    <row r="24" spans="1:16">
      <c r="A24" s="7">
        <f t="shared" si="0"/>
        <v>42170</v>
      </c>
      <c r="B24" s="27"/>
      <c r="C24" s="27"/>
      <c r="D24" s="21"/>
      <c r="E24" s="27"/>
      <c r="F24" s="29">
        <f>IFERROR(IF(INPUTS!B25="Male", 86.01*LOG(C24-D24)-70.041*LOG(INPUTS!B$7)+30.3, 163.205*LOG('BULKING TRACKER'!C24+'BULKING TRACKER'!E24-'BULKING TRACKER'!D24)-97.684*LOG(INPUTS!B$7)-104.912),0)</f>
        <v>0</v>
      </c>
      <c r="G24" s="11">
        <f>IFERROR((AVERAGE(B18:B24)),0)</f>
        <v>0</v>
      </c>
      <c r="H24" s="30">
        <f>IFERROR(IF(B24&gt;0, (G17-G24)/G17,0.007), 0)</f>
        <v>7.0000000000000001E-3</v>
      </c>
      <c r="I24" s="13" t="str">
        <f>IF(H24&lt;0, "Cut 200kcal", "")</f>
        <v/>
      </c>
      <c r="J24" s="13" t="str">
        <f>IF(AND(H24&lt;0.005, H24&gt;=0), "Cut 100kcal", "")</f>
        <v/>
      </c>
      <c r="K24" s="13" t="str">
        <f>IF(AND(H24&lt;0.006, H24&gt;=0.005), "Cut 50kcal", "")</f>
        <v/>
      </c>
      <c r="L24" s="13" t="str">
        <f>IF(AND(H24&lt;0.008, H24&gt;=0.006), "Remain Constant", "")</f>
        <v>Remain Constant</v>
      </c>
      <c r="M24" s="13" t="str">
        <f>IF(AND(H24&gt;=0.008,H24&lt;0.01), "Add 50kcal", "")</f>
        <v/>
      </c>
      <c r="N24" s="13" t="str">
        <f>IF(H24&gt;=0.01, "Add 100kcal", "")</f>
        <v/>
      </c>
      <c r="O24" s="20"/>
      <c r="P24" s="5" t="str">
        <f>IF(O24&gt;0,P17+O24,"")</f>
        <v/>
      </c>
    </row>
    <row r="25" spans="1:16">
      <c r="A25" s="7">
        <f t="shared" si="0"/>
        <v>42171</v>
      </c>
      <c r="B25" s="27"/>
      <c r="C25" s="8"/>
      <c r="D25" s="9"/>
      <c r="E25" s="8"/>
      <c r="F25" s="8"/>
      <c r="G25" s="8"/>
      <c r="H25" s="32"/>
      <c r="I25" s="9"/>
      <c r="J25" s="9"/>
      <c r="K25" s="8"/>
      <c r="L25" s="9"/>
      <c r="M25" s="9"/>
      <c r="N25" s="9"/>
      <c r="O25" s="19"/>
      <c r="P25" s="10"/>
    </row>
    <row r="26" spans="1:16">
      <c r="A26" s="7">
        <f t="shared" si="0"/>
        <v>42172</v>
      </c>
      <c r="B26" s="27"/>
      <c r="C26" s="8"/>
      <c r="D26" s="9"/>
      <c r="E26" s="8"/>
      <c r="F26" s="8"/>
      <c r="G26" s="8"/>
      <c r="H26" s="32"/>
      <c r="I26" s="9"/>
      <c r="J26" s="9"/>
      <c r="K26" s="8"/>
      <c r="L26" s="9"/>
      <c r="M26" s="9"/>
      <c r="N26" s="9"/>
      <c r="O26" s="19"/>
      <c r="P26" s="10"/>
    </row>
    <row r="27" spans="1:16">
      <c r="A27" s="7">
        <f t="shared" si="0"/>
        <v>42173</v>
      </c>
      <c r="B27" s="27"/>
      <c r="C27" s="8"/>
      <c r="D27" s="9"/>
      <c r="E27" s="8"/>
      <c r="F27" s="8"/>
      <c r="G27" s="8"/>
      <c r="H27" s="32"/>
      <c r="I27" s="9"/>
      <c r="J27" s="9"/>
      <c r="K27" s="8"/>
      <c r="L27" s="9"/>
      <c r="M27" s="9"/>
      <c r="N27" s="9"/>
      <c r="O27" s="19"/>
      <c r="P27" s="10"/>
    </row>
    <row r="28" spans="1:16">
      <c r="A28" s="7">
        <f t="shared" si="0"/>
        <v>42174</v>
      </c>
      <c r="B28" s="27"/>
      <c r="C28" s="8"/>
      <c r="D28" s="9"/>
      <c r="E28" s="8"/>
      <c r="F28" s="8"/>
      <c r="G28" s="8"/>
      <c r="H28" s="32"/>
      <c r="I28" s="9"/>
      <c r="J28" s="9"/>
      <c r="K28" s="8"/>
      <c r="L28" s="9"/>
      <c r="M28" s="9"/>
      <c r="N28" s="9"/>
      <c r="O28" s="19"/>
      <c r="P28" s="10"/>
    </row>
    <row r="29" spans="1:16">
      <c r="A29" s="7">
        <f t="shared" si="0"/>
        <v>42175</v>
      </c>
      <c r="B29" s="27"/>
      <c r="C29" s="8"/>
      <c r="D29" s="9"/>
      <c r="E29" s="8"/>
      <c r="F29" s="8"/>
      <c r="G29" s="8"/>
      <c r="H29" s="32"/>
      <c r="I29" s="9"/>
      <c r="J29" s="9"/>
      <c r="K29" s="8"/>
      <c r="L29" s="9"/>
      <c r="M29" s="9"/>
      <c r="N29" s="9"/>
      <c r="O29" s="19"/>
      <c r="P29" s="10"/>
    </row>
    <row r="30" spans="1:16">
      <c r="A30" s="7">
        <f t="shared" si="0"/>
        <v>42176</v>
      </c>
      <c r="B30" s="27"/>
      <c r="C30" s="8"/>
      <c r="D30" s="9"/>
      <c r="E30" s="8"/>
      <c r="F30" s="8"/>
      <c r="G30" s="8"/>
      <c r="H30" s="32"/>
      <c r="I30" s="9"/>
      <c r="J30" s="9"/>
      <c r="K30" s="8"/>
      <c r="L30" s="9"/>
      <c r="M30" s="9"/>
      <c r="N30" s="9"/>
      <c r="O30" s="19"/>
      <c r="P30" s="10"/>
    </row>
    <row r="31" spans="1:16">
      <c r="A31" s="7">
        <f t="shared" si="0"/>
        <v>42177</v>
      </c>
      <c r="B31" s="27"/>
      <c r="C31" s="27"/>
      <c r="D31" s="21"/>
      <c r="E31" s="27"/>
      <c r="F31" s="29">
        <f>IFERROR(IF(INPUTS!B32="Male", 86.01*LOG(C31-D31)-70.041*LOG(INPUTS!B$7)+30.3, 163.205*LOG('BULKING TRACKER'!C31+'BULKING TRACKER'!E31-'BULKING TRACKER'!D31)-97.684*LOG(INPUTS!B$7)-104.912),0)</f>
        <v>0</v>
      </c>
      <c r="G31" s="11">
        <f>IFERROR((AVERAGE(B25:B31)),0)</f>
        <v>0</v>
      </c>
      <c r="H31" s="30">
        <f>IFERROR(IF(B31&gt;0, (G24-G31)/G24,0.007), 0)</f>
        <v>7.0000000000000001E-3</v>
      </c>
      <c r="I31" s="13" t="str">
        <f>IF(H31&lt;0, "Cut 200kcal", "")</f>
        <v/>
      </c>
      <c r="J31" s="13" t="str">
        <f>IF(AND(H31&lt;0.005, H31&gt;=0), "Cut 100kcal", "")</f>
        <v/>
      </c>
      <c r="K31" s="13" t="str">
        <f>IF(AND(H31&lt;0.006, H31&gt;=0.005), "Cut 50kcal", "")</f>
        <v/>
      </c>
      <c r="L31" s="13" t="str">
        <f>IF(AND(H31&lt;0.008, H31&gt;=0.006), "Remain Constant", "")</f>
        <v>Remain Constant</v>
      </c>
      <c r="M31" s="13" t="str">
        <f>IF(AND(H31&gt;=0.008,H31&lt;0.01), "Add 50kcal", "")</f>
        <v/>
      </c>
      <c r="N31" s="13" t="str">
        <f>IF(H31&gt;=0.01, "Add 100kcal", "")</f>
        <v/>
      </c>
      <c r="O31" s="20"/>
      <c r="P31" s="5" t="str">
        <f>IF(O31&gt;0,P24+O31,"")</f>
        <v/>
      </c>
    </row>
    <row r="32" spans="1:16">
      <c r="A32" s="7">
        <f t="shared" si="0"/>
        <v>42178</v>
      </c>
      <c r="B32" s="27"/>
      <c r="C32" s="8"/>
      <c r="D32" s="9"/>
      <c r="E32" s="8"/>
      <c r="F32" s="8"/>
      <c r="G32" s="8"/>
      <c r="H32" s="32"/>
      <c r="I32" s="9"/>
      <c r="J32" s="9"/>
      <c r="K32" s="8"/>
      <c r="L32" s="9"/>
      <c r="M32" s="9"/>
      <c r="N32" s="9"/>
      <c r="O32" s="19"/>
      <c r="P32" s="10"/>
    </row>
    <row r="33" spans="1:16">
      <c r="A33" s="7">
        <f t="shared" si="0"/>
        <v>42179</v>
      </c>
      <c r="B33" s="27"/>
      <c r="C33" s="8"/>
      <c r="D33" s="9"/>
      <c r="E33" s="8"/>
      <c r="F33" s="8"/>
      <c r="G33" s="8"/>
      <c r="H33" s="32"/>
      <c r="I33" s="9"/>
      <c r="J33" s="9"/>
      <c r="K33" s="8"/>
      <c r="L33" s="9"/>
      <c r="M33" s="9"/>
      <c r="N33" s="9"/>
      <c r="O33" s="19"/>
      <c r="P33" s="10"/>
    </row>
    <row r="34" spans="1:16">
      <c r="A34" s="7">
        <f t="shared" si="0"/>
        <v>42180</v>
      </c>
      <c r="B34" s="27"/>
      <c r="C34" s="8"/>
      <c r="D34" s="9"/>
      <c r="E34" s="8"/>
      <c r="F34" s="8"/>
      <c r="G34" s="8"/>
      <c r="H34" s="32"/>
      <c r="I34" s="9"/>
      <c r="J34" s="9"/>
      <c r="K34" s="8"/>
      <c r="L34" s="9"/>
      <c r="M34" s="9"/>
      <c r="N34" s="9"/>
      <c r="O34" s="19"/>
      <c r="P34" s="10"/>
    </row>
    <row r="35" spans="1:16">
      <c r="A35" s="7">
        <f t="shared" si="0"/>
        <v>42181</v>
      </c>
      <c r="B35" s="27"/>
      <c r="C35" s="8"/>
      <c r="D35" s="9"/>
      <c r="E35" s="8"/>
      <c r="F35" s="8"/>
      <c r="G35" s="8"/>
      <c r="H35" s="32"/>
      <c r="I35" s="9"/>
      <c r="J35" s="9"/>
      <c r="K35" s="8"/>
      <c r="L35" s="9"/>
      <c r="M35" s="9"/>
      <c r="N35" s="9"/>
      <c r="O35" s="19"/>
      <c r="P35" s="10"/>
    </row>
    <row r="36" spans="1:16">
      <c r="A36" s="7">
        <f t="shared" si="0"/>
        <v>42182</v>
      </c>
      <c r="B36" s="27"/>
      <c r="C36" s="8"/>
      <c r="D36" s="9"/>
      <c r="E36" s="8"/>
      <c r="F36" s="8"/>
      <c r="G36" s="8"/>
      <c r="H36" s="32"/>
      <c r="I36" s="9"/>
      <c r="J36" s="9"/>
      <c r="K36" s="8"/>
      <c r="L36" s="9"/>
      <c r="M36" s="9"/>
      <c r="N36" s="9"/>
      <c r="O36" s="19"/>
      <c r="P36" s="10"/>
    </row>
    <row r="37" spans="1:16">
      <c r="A37" s="7">
        <f t="shared" si="0"/>
        <v>42183</v>
      </c>
      <c r="B37" s="27"/>
      <c r="C37" s="8"/>
      <c r="D37" s="9"/>
      <c r="E37" s="8"/>
      <c r="F37" s="8"/>
      <c r="G37" s="8"/>
      <c r="H37" s="32"/>
      <c r="I37" s="9"/>
      <c r="J37" s="9"/>
      <c r="K37" s="8"/>
      <c r="L37" s="9"/>
      <c r="M37" s="9"/>
      <c r="N37" s="9"/>
      <c r="O37" s="19"/>
      <c r="P37" s="10"/>
    </row>
    <row r="38" spans="1:16">
      <c r="A38" s="7">
        <f t="shared" si="0"/>
        <v>42184</v>
      </c>
      <c r="B38" s="27"/>
      <c r="C38" s="27"/>
      <c r="D38" s="21"/>
      <c r="E38" s="27"/>
      <c r="F38" s="29">
        <f>IFERROR(IF(INPUTS!B39="Male", 86.01*LOG(C38-D38)-70.041*LOG(INPUTS!B$7)+30.3, 163.205*LOG('BULKING TRACKER'!C38+'BULKING TRACKER'!E38-'BULKING TRACKER'!D38)-97.684*LOG(INPUTS!B$7)-104.912),0)</f>
        <v>0</v>
      </c>
      <c r="G38" s="11">
        <f>IFERROR((AVERAGE(B32:B38)),0)</f>
        <v>0</v>
      </c>
      <c r="H38" s="30">
        <f>IFERROR(IF(B38&gt;0, (G31-G38)/G31,0.007), 0)</f>
        <v>7.0000000000000001E-3</v>
      </c>
      <c r="I38" s="13" t="str">
        <f>IF(H38&lt;0, "Cut 200kcal", "")</f>
        <v/>
      </c>
      <c r="J38" s="13" t="str">
        <f>IF(AND(H38&lt;0.005, H38&gt;=0), "Cut 100kcal", "")</f>
        <v/>
      </c>
      <c r="K38" s="13" t="str">
        <f>IF(AND(H38&lt;0.006, H38&gt;=0.005), "Cut 50kcal", "")</f>
        <v/>
      </c>
      <c r="L38" s="13" t="str">
        <f>IF(AND(H38&lt;0.008, H38&gt;=0.006), "Remain Constant", "")</f>
        <v>Remain Constant</v>
      </c>
      <c r="M38" s="13" t="str">
        <f>IF(AND(H38&gt;=0.008,H38&lt;0.01), "Add 50kcal", "")</f>
        <v/>
      </c>
      <c r="N38" s="13" t="str">
        <f>IF(H38&gt;=0.01, "Add 100kcal", "")</f>
        <v/>
      </c>
      <c r="O38" s="20"/>
      <c r="P38" s="5" t="str">
        <f>IF(O38&gt;0,$O$3+O38,"")</f>
        <v/>
      </c>
    </row>
    <row r="39" spans="1:16">
      <c r="A39" s="7">
        <f t="shared" si="0"/>
        <v>42185</v>
      </c>
      <c r="B39" s="27"/>
      <c r="C39" s="8"/>
      <c r="D39" s="9"/>
      <c r="E39" s="8"/>
      <c r="F39" s="8"/>
      <c r="G39" s="8"/>
      <c r="H39" s="32"/>
      <c r="I39" s="9"/>
      <c r="J39" s="9"/>
      <c r="K39" s="8"/>
      <c r="L39" s="9"/>
      <c r="M39" s="9"/>
      <c r="N39" s="9"/>
      <c r="O39" s="19"/>
      <c r="P39" s="10"/>
    </row>
    <row r="40" spans="1:16">
      <c r="A40" s="7">
        <f t="shared" si="0"/>
        <v>42186</v>
      </c>
      <c r="B40" s="27"/>
      <c r="C40" s="8"/>
      <c r="D40" s="9"/>
      <c r="E40" s="8"/>
      <c r="F40" s="8"/>
      <c r="G40" s="8"/>
      <c r="H40" s="32"/>
      <c r="I40" s="9"/>
      <c r="J40" s="9"/>
      <c r="K40" s="8"/>
      <c r="L40" s="9"/>
      <c r="M40" s="9"/>
      <c r="N40" s="9"/>
      <c r="O40" s="19"/>
      <c r="P40" s="10"/>
    </row>
    <row r="41" spans="1:16">
      <c r="A41" s="7">
        <f t="shared" si="0"/>
        <v>42187</v>
      </c>
      <c r="B41" s="27"/>
      <c r="C41" s="8"/>
      <c r="D41" s="9"/>
      <c r="E41" s="8"/>
      <c r="F41" s="8"/>
      <c r="G41" s="8"/>
      <c r="H41" s="32"/>
      <c r="I41" s="9"/>
      <c r="J41" s="9"/>
      <c r="K41" s="8"/>
      <c r="L41" s="9"/>
      <c r="M41" s="9"/>
      <c r="N41" s="9"/>
      <c r="O41" s="19"/>
      <c r="P41" s="10"/>
    </row>
    <row r="42" spans="1:16">
      <c r="A42" s="7">
        <f t="shared" si="0"/>
        <v>42188</v>
      </c>
      <c r="B42" s="27"/>
      <c r="C42" s="8"/>
      <c r="D42" s="9"/>
      <c r="E42" s="8"/>
      <c r="F42" s="8"/>
      <c r="G42" s="8"/>
      <c r="H42" s="32"/>
      <c r="I42" s="9"/>
      <c r="J42" s="9"/>
      <c r="K42" s="8"/>
      <c r="L42" s="9"/>
      <c r="M42" s="9"/>
      <c r="N42" s="9"/>
      <c r="O42" s="19"/>
      <c r="P42" s="10"/>
    </row>
    <row r="43" spans="1:16">
      <c r="A43" s="7">
        <f t="shared" si="0"/>
        <v>42189</v>
      </c>
      <c r="B43" s="27"/>
      <c r="C43" s="8"/>
      <c r="D43" s="9"/>
      <c r="E43" s="8"/>
      <c r="F43" s="8"/>
      <c r="G43" s="8"/>
      <c r="H43" s="32"/>
      <c r="I43" s="9"/>
      <c r="J43" s="9"/>
      <c r="K43" s="8"/>
      <c r="L43" s="9"/>
      <c r="M43" s="9"/>
      <c r="N43" s="9"/>
      <c r="O43" s="19"/>
      <c r="P43" s="10"/>
    </row>
    <row r="44" spans="1:16">
      <c r="A44" s="7">
        <f t="shared" si="0"/>
        <v>42190</v>
      </c>
      <c r="B44" s="27"/>
      <c r="C44" s="8"/>
      <c r="D44" s="9"/>
      <c r="E44" s="8"/>
      <c r="F44" s="8"/>
      <c r="G44" s="8"/>
      <c r="H44" s="32"/>
      <c r="I44" s="9"/>
      <c r="J44" s="9"/>
      <c r="K44" s="8"/>
      <c r="L44" s="9"/>
      <c r="M44" s="9"/>
      <c r="N44" s="9"/>
      <c r="O44" s="19"/>
      <c r="P44" s="10"/>
    </row>
    <row r="45" spans="1:16">
      <c r="A45" s="7">
        <f t="shared" si="0"/>
        <v>42191</v>
      </c>
      <c r="B45" s="27"/>
      <c r="C45" s="27"/>
      <c r="D45" s="21"/>
      <c r="E45" s="27"/>
      <c r="F45" s="29">
        <f>IFERROR(IF(INPUTS!B46="Male", 86.01*LOG(C45-D45)-70.041*LOG(INPUTS!B$7)+30.3, 163.205*LOG('BULKING TRACKER'!C45+'BULKING TRACKER'!E45-'BULKING TRACKER'!D45)-97.684*LOG(INPUTS!B$7)-104.912),0)</f>
        <v>0</v>
      </c>
      <c r="G45" s="11" t="str">
        <f>IF(B45&gt;0, AVERAGE(B39:B45), " ")</f>
        <v xml:space="preserve"> </v>
      </c>
      <c r="H45" s="30">
        <f>IFERROR(IF(B45&gt;0, (G38-G45)/G38,0.007), 0)</f>
        <v>7.0000000000000001E-3</v>
      </c>
      <c r="I45" s="13" t="str">
        <f>IF(H45&lt;0, "Cut 200kcal", "")</f>
        <v/>
      </c>
      <c r="J45" s="13" t="str">
        <f>IF(AND(H45&lt;0.005, H45&gt;=0), "Cut 100kcal", "")</f>
        <v/>
      </c>
      <c r="K45" s="13" t="str">
        <f>IF(AND(H45&lt;0.006, H45&gt;=0.005), "Cut 50kcal", "")</f>
        <v/>
      </c>
      <c r="L45" s="13" t="str">
        <f>IF(AND(H45&lt;0.008, H45&gt;=0.006), "Remain Constant", "")</f>
        <v>Remain Constant</v>
      </c>
      <c r="M45" s="13" t="str">
        <f>IF(AND(H45&gt;=0.008,H45&lt;0.01), "Add 50kcal", "")</f>
        <v/>
      </c>
      <c r="N45" s="13" t="str">
        <f>IF(H45&gt;=0.01, "Add 100kcal", "")</f>
        <v/>
      </c>
      <c r="O45" s="20"/>
      <c r="P45" s="5" t="str">
        <f>IF(O45&gt;0,P38+O45,"")</f>
        <v/>
      </c>
    </row>
    <row r="46" spans="1:16">
      <c r="A46" s="7">
        <f t="shared" si="0"/>
        <v>42192</v>
      </c>
      <c r="B46" s="27"/>
      <c r="C46" s="8"/>
      <c r="D46" s="9"/>
      <c r="E46" s="8"/>
      <c r="F46" s="8"/>
      <c r="G46" s="8"/>
      <c r="H46" s="32"/>
      <c r="I46" s="9"/>
      <c r="J46" s="9"/>
      <c r="K46" s="8"/>
      <c r="L46" s="9"/>
      <c r="M46" s="9"/>
      <c r="N46" s="9"/>
      <c r="O46" s="19"/>
      <c r="P46" s="10"/>
    </row>
    <row r="47" spans="1:16">
      <c r="A47" s="7">
        <f t="shared" si="0"/>
        <v>42193</v>
      </c>
      <c r="B47" s="27"/>
      <c r="C47" s="8"/>
      <c r="D47" s="9"/>
      <c r="E47" s="8"/>
      <c r="F47" s="8"/>
      <c r="G47" s="8"/>
      <c r="H47" s="32"/>
      <c r="I47" s="9"/>
      <c r="J47" s="9"/>
      <c r="K47" s="8"/>
      <c r="L47" s="9"/>
      <c r="M47" s="9"/>
      <c r="N47" s="9"/>
      <c r="O47" s="19"/>
      <c r="P47" s="10"/>
    </row>
    <row r="48" spans="1:16">
      <c r="A48" s="7">
        <f t="shared" si="0"/>
        <v>42194</v>
      </c>
      <c r="B48" s="27"/>
      <c r="C48" s="8"/>
      <c r="D48" s="9"/>
      <c r="E48" s="8"/>
      <c r="F48" s="8"/>
      <c r="G48" s="8"/>
      <c r="H48" s="32"/>
      <c r="I48" s="9"/>
      <c r="J48" s="9"/>
      <c r="K48" s="8"/>
      <c r="L48" s="9"/>
      <c r="M48" s="9"/>
      <c r="N48" s="9"/>
      <c r="O48" s="19"/>
      <c r="P48" s="10"/>
    </row>
    <row r="49" spans="1:16">
      <c r="A49" s="7">
        <f t="shared" si="0"/>
        <v>42195</v>
      </c>
      <c r="B49" s="27"/>
      <c r="C49" s="8"/>
      <c r="D49" s="9"/>
      <c r="E49" s="8"/>
      <c r="F49" s="8"/>
      <c r="G49" s="8"/>
      <c r="H49" s="32"/>
      <c r="I49" s="9"/>
      <c r="J49" s="9"/>
      <c r="K49" s="8"/>
      <c r="L49" s="9"/>
      <c r="M49" s="9"/>
      <c r="N49" s="9"/>
      <c r="O49" s="19"/>
      <c r="P49" s="10"/>
    </row>
    <row r="50" spans="1:16">
      <c r="A50" s="7">
        <f t="shared" si="0"/>
        <v>42196</v>
      </c>
      <c r="B50" s="27"/>
      <c r="C50" s="8"/>
      <c r="D50" s="9"/>
      <c r="E50" s="8"/>
      <c r="F50" s="8"/>
      <c r="G50" s="8"/>
      <c r="H50" s="32"/>
      <c r="I50" s="9"/>
      <c r="J50" s="9"/>
      <c r="K50" s="8"/>
      <c r="L50" s="9"/>
      <c r="M50" s="9"/>
      <c r="N50" s="9"/>
      <c r="O50" s="19"/>
      <c r="P50" s="10"/>
    </row>
    <row r="51" spans="1:16">
      <c r="A51" s="7">
        <f t="shared" si="0"/>
        <v>42197</v>
      </c>
      <c r="B51" s="27"/>
      <c r="C51" s="8"/>
      <c r="D51" s="9"/>
      <c r="E51" s="8"/>
      <c r="F51" s="8"/>
      <c r="G51" s="8"/>
      <c r="H51" s="32"/>
      <c r="I51" s="9"/>
      <c r="J51" s="9"/>
      <c r="K51" s="8"/>
      <c r="L51" s="9"/>
      <c r="M51" s="9"/>
      <c r="N51" s="9"/>
      <c r="O51" s="19"/>
      <c r="P51" s="10"/>
    </row>
    <row r="52" spans="1:16">
      <c r="A52" s="7">
        <f t="shared" si="0"/>
        <v>42198</v>
      </c>
      <c r="B52" s="27"/>
      <c r="C52" s="27"/>
      <c r="D52" s="21"/>
      <c r="E52" s="27"/>
      <c r="F52" s="29">
        <f>IFERROR(IF(INPUTS!B53="Male", 86.01*LOG(C52-D52)-70.041*LOG(INPUTS!B$7)+30.3, 163.205*LOG('BULKING TRACKER'!C52+'BULKING TRACKER'!E52-'BULKING TRACKER'!D52)-97.684*LOG(INPUTS!B$7)-104.912),0)</f>
        <v>0</v>
      </c>
      <c r="G52" s="11" t="str">
        <f>IF(B52&gt;0, AVERAGE(B46:B52), " ")</f>
        <v xml:space="preserve"> </v>
      </c>
      <c r="H52" s="30">
        <f>IFERROR(IF(B52&gt;0, (G45-G52)/G45,0.007), 0)</f>
        <v>7.0000000000000001E-3</v>
      </c>
      <c r="I52" s="13" t="str">
        <f>IF(H52&lt;0, "Cut 200kcal", "")</f>
        <v/>
      </c>
      <c r="J52" s="13" t="str">
        <f>IF(AND(H52&lt;0.005, H52&gt;=0), "Cut 100kcal", "")</f>
        <v/>
      </c>
      <c r="K52" s="13" t="str">
        <f>IF(AND(H52&lt;0.006, H52&gt;=0.005), "Cut 50kcal", "")</f>
        <v/>
      </c>
      <c r="L52" s="13" t="str">
        <f>IF(AND(H52&lt;0.008, H52&gt;=0.006), "Remain Constant", "")</f>
        <v>Remain Constant</v>
      </c>
      <c r="M52" s="13" t="str">
        <f>IF(AND(H52&gt;=0.008,H52&lt;0.01), "Add 50kcal", "")</f>
        <v/>
      </c>
      <c r="N52" s="13" t="str">
        <f>IF(H52&gt;=0.01, "Add 100kcal", "")</f>
        <v/>
      </c>
      <c r="O52" s="20"/>
      <c r="P52" s="5" t="str">
        <f>IF(O52&gt;0,P45+O52,"")</f>
        <v/>
      </c>
    </row>
    <row r="53" spans="1:16">
      <c r="A53" s="7">
        <f t="shared" si="0"/>
        <v>42199</v>
      </c>
      <c r="B53" s="27"/>
      <c r="C53" s="8"/>
      <c r="D53" s="9"/>
      <c r="E53" s="8"/>
      <c r="F53" s="8"/>
      <c r="G53" s="8"/>
      <c r="H53" s="32"/>
      <c r="I53" s="9"/>
      <c r="J53" s="9"/>
      <c r="K53" s="8"/>
      <c r="L53" s="9"/>
      <c r="M53" s="9"/>
      <c r="N53" s="9"/>
      <c r="O53" s="19"/>
      <c r="P53" s="10"/>
    </row>
    <row r="54" spans="1:16">
      <c r="A54" s="7">
        <f t="shared" si="0"/>
        <v>42200</v>
      </c>
      <c r="B54" s="27"/>
      <c r="C54" s="8"/>
      <c r="D54" s="9"/>
      <c r="E54" s="8"/>
      <c r="F54" s="8"/>
      <c r="G54" s="8"/>
      <c r="H54" s="32"/>
      <c r="I54" s="9"/>
      <c r="J54" s="9"/>
      <c r="K54" s="8"/>
      <c r="L54" s="9"/>
      <c r="M54" s="9"/>
      <c r="N54" s="9"/>
      <c r="O54" s="19"/>
      <c r="P54" s="10"/>
    </row>
    <row r="55" spans="1:16">
      <c r="A55" s="7">
        <f t="shared" si="0"/>
        <v>42201</v>
      </c>
      <c r="B55" s="27"/>
      <c r="C55" s="8"/>
      <c r="D55" s="9"/>
      <c r="E55" s="8"/>
      <c r="F55" s="8"/>
      <c r="G55" s="8"/>
      <c r="H55" s="32"/>
      <c r="I55" s="9"/>
      <c r="J55" s="9"/>
      <c r="K55" s="8"/>
      <c r="L55" s="9"/>
      <c r="M55" s="9"/>
      <c r="N55" s="9"/>
      <c r="O55" s="19"/>
      <c r="P55" s="10"/>
    </row>
    <row r="56" spans="1:16">
      <c r="A56" s="7">
        <f t="shared" si="0"/>
        <v>42202</v>
      </c>
      <c r="B56" s="27"/>
      <c r="C56" s="8"/>
      <c r="D56" s="9"/>
      <c r="E56" s="8"/>
      <c r="F56" s="8"/>
      <c r="G56" s="8"/>
      <c r="H56" s="32"/>
      <c r="I56" s="9"/>
      <c r="J56" s="9"/>
      <c r="K56" s="8"/>
      <c r="L56" s="9"/>
      <c r="M56" s="9"/>
      <c r="N56" s="9"/>
      <c r="O56" s="19"/>
      <c r="P56" s="10"/>
    </row>
    <row r="57" spans="1:16">
      <c r="A57" s="7">
        <f t="shared" si="0"/>
        <v>42203</v>
      </c>
      <c r="B57" s="27"/>
      <c r="C57" s="8"/>
      <c r="D57" s="9"/>
      <c r="E57" s="8"/>
      <c r="F57" s="8"/>
      <c r="G57" s="8"/>
      <c r="H57" s="32"/>
      <c r="I57" s="9"/>
      <c r="J57" s="9"/>
      <c r="K57" s="8"/>
      <c r="L57" s="9"/>
      <c r="M57" s="9"/>
      <c r="N57" s="9"/>
      <c r="O57" s="19"/>
      <c r="P57" s="10"/>
    </row>
    <row r="58" spans="1:16">
      <c r="A58" s="7">
        <f t="shared" si="0"/>
        <v>42204</v>
      </c>
      <c r="B58" s="27"/>
      <c r="C58" s="8"/>
      <c r="D58" s="9"/>
      <c r="E58" s="8"/>
      <c r="F58" s="8"/>
      <c r="G58" s="8"/>
      <c r="H58" s="32"/>
      <c r="I58" s="9"/>
      <c r="J58" s="9"/>
      <c r="K58" s="8"/>
      <c r="L58" s="9"/>
      <c r="M58" s="9"/>
      <c r="N58" s="9"/>
      <c r="O58" s="19"/>
      <c r="P58" s="10"/>
    </row>
    <row r="59" spans="1:16">
      <c r="A59" s="7">
        <f t="shared" si="0"/>
        <v>42205</v>
      </c>
      <c r="B59" s="27"/>
      <c r="C59" s="27"/>
      <c r="D59" s="21"/>
      <c r="E59" s="27"/>
      <c r="F59" s="29">
        <f>IFERROR(IF(INPUTS!B60="Male", 86.01*LOG(C59-D59)-70.041*LOG(INPUTS!B$7)+30.3, 163.205*LOG('BULKING TRACKER'!C59+'BULKING TRACKER'!E59-'BULKING TRACKER'!D59)-97.684*LOG(INPUTS!B$7)-104.912),0)</f>
        <v>0</v>
      </c>
      <c r="G59" s="11" t="str">
        <f>IF(B59&gt;0, AVERAGE(B53:B59), " ")</f>
        <v xml:space="preserve"> </v>
      </c>
      <c r="H59" s="30">
        <f>IFERROR(IF(B59&gt;0, (G52-G59)/G52,0.007), 0)</f>
        <v>7.0000000000000001E-3</v>
      </c>
      <c r="I59" s="13" t="str">
        <f>IF(H59&lt;0, "Cut 200kcal", "")</f>
        <v/>
      </c>
      <c r="J59" s="13" t="str">
        <f>IF(AND(H59&lt;0.005, H59&gt;=0), "Cut 100kcal", "")</f>
        <v/>
      </c>
      <c r="K59" s="13" t="str">
        <f>IF(AND(H59&lt;0.006, H59&gt;=0.005), "Cut 50kcal", "")</f>
        <v/>
      </c>
      <c r="L59" s="13" t="str">
        <f>IF(AND(H59&lt;0.008, H59&gt;=0.006), "Remain Constant", "")</f>
        <v>Remain Constant</v>
      </c>
      <c r="M59" s="13" t="str">
        <f>IF(AND(H59&gt;=0.008,H59&lt;0.01), "Add 50kcal", "")</f>
        <v/>
      </c>
      <c r="N59" s="13" t="str">
        <f>IF(H59&gt;=0.01, "Add 100kcal", "")</f>
        <v/>
      </c>
      <c r="O59" s="20"/>
      <c r="P59" s="5" t="str">
        <f>IF(O59&gt;0,P52+O59,"")</f>
        <v/>
      </c>
    </row>
    <row r="60" spans="1:16">
      <c r="A60" s="7">
        <f t="shared" si="0"/>
        <v>42206</v>
      </c>
      <c r="B60" s="27"/>
      <c r="C60" s="8"/>
      <c r="D60" s="9"/>
      <c r="E60" s="8"/>
      <c r="F60" s="8"/>
      <c r="G60" s="8"/>
      <c r="H60" s="32"/>
      <c r="I60" s="9"/>
      <c r="J60" s="9"/>
      <c r="K60" s="8"/>
      <c r="L60" s="9"/>
      <c r="M60" s="9"/>
      <c r="N60" s="9"/>
      <c r="O60" s="19"/>
      <c r="P60" s="10"/>
    </row>
    <row r="61" spans="1:16">
      <c r="A61" s="7">
        <f t="shared" si="0"/>
        <v>42207</v>
      </c>
      <c r="B61" s="27"/>
      <c r="C61" s="8"/>
      <c r="D61" s="9"/>
      <c r="E61" s="8"/>
      <c r="F61" s="8"/>
      <c r="G61" s="8"/>
      <c r="H61" s="32"/>
      <c r="I61" s="9"/>
      <c r="J61" s="9"/>
      <c r="K61" s="8"/>
      <c r="L61" s="9"/>
      <c r="M61" s="9"/>
      <c r="N61" s="9"/>
      <c r="O61" s="19"/>
      <c r="P61" s="10"/>
    </row>
    <row r="62" spans="1:16">
      <c r="A62" s="7">
        <f t="shared" si="0"/>
        <v>42208</v>
      </c>
      <c r="B62" s="27"/>
      <c r="C62" s="8"/>
      <c r="D62" s="9"/>
      <c r="E62" s="8"/>
      <c r="F62" s="8"/>
      <c r="G62" s="8"/>
      <c r="H62" s="32"/>
      <c r="I62" s="9"/>
      <c r="J62" s="9"/>
      <c r="K62" s="8"/>
      <c r="L62" s="9"/>
      <c r="M62" s="9"/>
      <c r="N62" s="9"/>
      <c r="O62" s="19"/>
      <c r="P62" s="10"/>
    </row>
    <row r="63" spans="1:16">
      <c r="A63" s="7">
        <f t="shared" si="0"/>
        <v>42209</v>
      </c>
      <c r="B63" s="27"/>
      <c r="C63" s="8"/>
      <c r="D63" s="9"/>
      <c r="E63" s="8"/>
      <c r="F63" s="8"/>
      <c r="G63" s="8"/>
      <c r="H63" s="32"/>
      <c r="I63" s="9"/>
      <c r="J63" s="9"/>
      <c r="K63" s="8"/>
      <c r="L63" s="9"/>
      <c r="M63" s="9"/>
      <c r="N63" s="9"/>
      <c r="O63" s="19"/>
      <c r="P63" s="10"/>
    </row>
    <row r="64" spans="1:16">
      <c r="A64" s="7">
        <f t="shared" si="0"/>
        <v>42210</v>
      </c>
      <c r="B64" s="27"/>
      <c r="C64" s="8"/>
      <c r="D64" s="9"/>
      <c r="E64" s="8"/>
      <c r="F64" s="8"/>
      <c r="G64" s="8"/>
      <c r="H64" s="32"/>
      <c r="I64" s="9"/>
      <c r="J64" s="9"/>
      <c r="K64" s="8"/>
      <c r="L64" s="9"/>
      <c r="M64" s="9"/>
      <c r="N64" s="9"/>
      <c r="O64" s="19"/>
      <c r="P64" s="10"/>
    </row>
    <row r="65" spans="1:16">
      <c r="A65" s="7">
        <f t="shared" si="0"/>
        <v>42211</v>
      </c>
      <c r="B65" s="27"/>
      <c r="C65" s="8"/>
      <c r="D65" s="9"/>
      <c r="E65" s="8"/>
      <c r="F65" s="8"/>
      <c r="G65" s="8"/>
      <c r="H65" s="32"/>
      <c r="I65" s="9"/>
      <c r="J65" s="9"/>
      <c r="K65" s="8"/>
      <c r="L65" s="9"/>
      <c r="M65" s="9"/>
      <c r="N65" s="9"/>
      <c r="O65" s="19"/>
      <c r="P65" s="10"/>
    </row>
    <row r="66" spans="1:16">
      <c r="A66" s="7">
        <f t="shared" si="0"/>
        <v>42212</v>
      </c>
      <c r="B66" s="27"/>
      <c r="C66" s="27"/>
      <c r="D66" s="21"/>
      <c r="E66" s="27"/>
      <c r="F66" s="29">
        <f>IFERROR(IF(INPUTS!B67="Male", 86.01*LOG(C66-D66)-70.041*LOG(INPUTS!B$7)+30.3, 163.205*LOG('BULKING TRACKER'!C66+'BULKING TRACKER'!E66-'BULKING TRACKER'!D66)-97.684*LOG(INPUTS!B$7)-104.912),0)</f>
        <v>0</v>
      </c>
      <c r="G66" s="11" t="str">
        <f>IF(B66&gt;0, AVERAGE(B60:B66), " ")</f>
        <v xml:space="preserve"> </v>
      </c>
      <c r="H66" s="30">
        <f>IFERROR(IF(B66&gt;0, (G59-G66)/G59,0.007), 0)</f>
        <v>7.0000000000000001E-3</v>
      </c>
      <c r="I66" s="13" t="str">
        <f>IF(H66&lt;0, "Cut 200kcal", "")</f>
        <v/>
      </c>
      <c r="J66" s="13" t="str">
        <f>IF(AND(H66&lt;0.005, H66&gt;=0), "Cut 100kcal", "")</f>
        <v/>
      </c>
      <c r="K66" s="13" t="str">
        <f>IF(AND(H66&lt;0.006, H66&gt;=0.005), "Cut 50kcal", "")</f>
        <v/>
      </c>
      <c r="L66" s="13" t="str">
        <f>IF(AND(H66&lt;0.008, H66&gt;=0.006), "Remain Constant", "")</f>
        <v>Remain Constant</v>
      </c>
      <c r="M66" s="13" t="str">
        <f>IF(AND(H66&gt;=0.008,H66&lt;0.01), "Add 50kcal", "")</f>
        <v/>
      </c>
      <c r="N66" s="13" t="str">
        <f>IF(H66&gt;=0.01, "Add 100kcal", "")</f>
        <v/>
      </c>
      <c r="O66" s="20"/>
      <c r="P66" s="5" t="str">
        <f>IF(O66&gt;0,P59+O66,"")</f>
        <v/>
      </c>
    </row>
    <row r="67" spans="1:16">
      <c r="A67" s="7">
        <f t="shared" si="0"/>
        <v>42213</v>
      </c>
      <c r="B67" s="27"/>
      <c r="C67" s="8"/>
      <c r="D67" s="9"/>
      <c r="E67" s="8"/>
      <c r="F67" s="8"/>
      <c r="G67" s="8"/>
      <c r="H67" s="32"/>
      <c r="I67" s="9"/>
      <c r="J67" s="9"/>
      <c r="K67" s="8"/>
      <c r="L67" s="9"/>
      <c r="M67" s="9"/>
      <c r="N67" s="9"/>
      <c r="O67" s="19"/>
      <c r="P67" s="10"/>
    </row>
    <row r="68" spans="1:16">
      <c r="A68" s="7">
        <f t="shared" si="0"/>
        <v>42214</v>
      </c>
      <c r="B68" s="27"/>
      <c r="C68" s="8"/>
      <c r="D68" s="9"/>
      <c r="E68" s="8"/>
      <c r="F68" s="8"/>
      <c r="G68" s="8"/>
      <c r="H68" s="32"/>
      <c r="I68" s="9"/>
      <c r="J68" s="9"/>
      <c r="K68" s="8"/>
      <c r="L68" s="9"/>
      <c r="M68" s="9"/>
      <c r="N68" s="9"/>
      <c r="O68" s="19"/>
      <c r="P68" s="10"/>
    </row>
    <row r="69" spans="1:16">
      <c r="A69" s="7">
        <f t="shared" ref="A69:A132" si="1">A68+1</f>
        <v>42215</v>
      </c>
      <c r="B69" s="27"/>
      <c r="C69" s="8"/>
      <c r="D69" s="9"/>
      <c r="E69" s="8"/>
      <c r="F69" s="8"/>
      <c r="G69" s="8"/>
      <c r="H69" s="32"/>
      <c r="I69" s="9"/>
      <c r="J69" s="9"/>
      <c r="K69" s="8"/>
      <c r="L69" s="9"/>
      <c r="M69" s="9"/>
      <c r="N69" s="9"/>
      <c r="O69" s="19"/>
      <c r="P69" s="10"/>
    </row>
    <row r="70" spans="1:16">
      <c r="A70" s="7">
        <f t="shared" si="1"/>
        <v>42216</v>
      </c>
      <c r="B70" s="27"/>
      <c r="C70" s="8"/>
      <c r="D70" s="9"/>
      <c r="E70" s="8"/>
      <c r="F70" s="8"/>
      <c r="G70" s="8"/>
      <c r="H70" s="32"/>
      <c r="I70" s="9"/>
      <c r="J70" s="9"/>
      <c r="K70" s="8"/>
      <c r="L70" s="9"/>
      <c r="M70" s="9"/>
      <c r="N70" s="9"/>
      <c r="O70" s="19"/>
      <c r="P70" s="10"/>
    </row>
    <row r="71" spans="1:16">
      <c r="A71" s="7">
        <f t="shared" si="1"/>
        <v>42217</v>
      </c>
      <c r="B71" s="27"/>
      <c r="C71" s="8"/>
      <c r="D71" s="9"/>
      <c r="E71" s="8"/>
      <c r="F71" s="8"/>
      <c r="G71" s="8"/>
      <c r="H71" s="32"/>
      <c r="I71" s="9"/>
      <c r="J71" s="9"/>
      <c r="K71" s="8"/>
      <c r="L71" s="9"/>
      <c r="M71" s="9"/>
      <c r="N71" s="9"/>
      <c r="O71" s="19"/>
      <c r="P71" s="10"/>
    </row>
    <row r="72" spans="1:16">
      <c r="A72" s="7">
        <f t="shared" si="1"/>
        <v>42218</v>
      </c>
      <c r="B72" s="27"/>
      <c r="C72" s="8"/>
      <c r="D72" s="9"/>
      <c r="E72" s="8"/>
      <c r="F72" s="8"/>
      <c r="G72" s="8"/>
      <c r="H72" s="32"/>
      <c r="I72" s="9"/>
      <c r="J72" s="9"/>
      <c r="K72" s="8"/>
      <c r="L72" s="9"/>
      <c r="M72" s="9"/>
      <c r="N72" s="9"/>
      <c r="O72" s="19"/>
      <c r="P72" s="10"/>
    </row>
    <row r="73" spans="1:16">
      <c r="A73" s="7">
        <f t="shared" si="1"/>
        <v>42219</v>
      </c>
      <c r="B73" s="27"/>
      <c r="C73" s="27"/>
      <c r="D73" s="21"/>
      <c r="E73" s="27"/>
      <c r="F73" s="29">
        <f>IFERROR(IF(INPUTS!B74="Male", 86.01*LOG(C73-D73)-70.041*LOG(INPUTS!B$7)+30.3, 163.205*LOG('BULKING TRACKER'!C73+'BULKING TRACKER'!E73-'BULKING TRACKER'!D73)-97.684*LOG(INPUTS!B$7)-104.912),0)</f>
        <v>0</v>
      </c>
      <c r="G73" s="11" t="str">
        <f>IF(B73&gt;0, AVERAGE(B67:B73), " ")</f>
        <v xml:space="preserve"> </v>
      </c>
      <c r="H73" s="30">
        <f>IFERROR(IF(B73&gt;0, (G66-G73)/G66,0.007), 0)</f>
        <v>7.0000000000000001E-3</v>
      </c>
      <c r="I73" s="13" t="str">
        <f>IF(H73&lt;0, "Cut 200kcal", "")</f>
        <v/>
      </c>
      <c r="J73" s="13" t="str">
        <f>IF(AND(H73&lt;0.005, H73&gt;=0), "Cut 100kcal", "")</f>
        <v/>
      </c>
      <c r="K73" s="13" t="str">
        <f>IF(AND(H73&lt;0.006, H73&gt;=0.005), "Cut 50kcal", "")</f>
        <v/>
      </c>
      <c r="L73" s="13" t="str">
        <f>IF(AND(H73&lt;0.008, H73&gt;=0.006), "Remain Constant", "")</f>
        <v>Remain Constant</v>
      </c>
      <c r="M73" s="13" t="str">
        <f>IF(AND(H73&gt;=0.008,H73&lt;0.01), "Add 50kcal", "")</f>
        <v/>
      </c>
      <c r="N73" s="13" t="str">
        <f>IF(H73&gt;=0.01, "Add 100kcal", "")</f>
        <v/>
      </c>
      <c r="O73" s="20"/>
      <c r="P73" s="5" t="str">
        <f>IF(O73&gt;0,P66+O73,"")</f>
        <v/>
      </c>
    </row>
    <row r="74" spans="1:16">
      <c r="A74" s="7">
        <f t="shared" si="1"/>
        <v>42220</v>
      </c>
      <c r="B74" s="27"/>
      <c r="C74" s="8"/>
      <c r="D74" s="9"/>
      <c r="E74" s="8"/>
      <c r="F74" s="8"/>
      <c r="G74" s="8"/>
      <c r="H74" s="32"/>
      <c r="I74" s="9"/>
      <c r="J74" s="9"/>
      <c r="K74" s="8"/>
      <c r="L74" s="9"/>
      <c r="M74" s="9"/>
      <c r="N74" s="9"/>
      <c r="O74" s="19"/>
      <c r="P74" s="10"/>
    </row>
    <row r="75" spans="1:16">
      <c r="A75" s="7">
        <f t="shared" si="1"/>
        <v>42221</v>
      </c>
      <c r="B75" s="27"/>
      <c r="C75" s="8"/>
      <c r="D75" s="9"/>
      <c r="E75" s="8"/>
      <c r="F75" s="8"/>
      <c r="G75" s="8"/>
      <c r="H75" s="32"/>
      <c r="I75" s="9"/>
      <c r="J75" s="9"/>
      <c r="K75" s="8"/>
      <c r="L75" s="9"/>
      <c r="M75" s="9"/>
      <c r="N75" s="9"/>
      <c r="O75" s="19"/>
      <c r="P75" s="10"/>
    </row>
    <row r="76" spans="1:16">
      <c r="A76" s="7">
        <f t="shared" si="1"/>
        <v>42222</v>
      </c>
      <c r="B76" s="27"/>
      <c r="C76" s="8"/>
      <c r="D76" s="9"/>
      <c r="E76" s="8"/>
      <c r="F76" s="8"/>
      <c r="G76" s="8"/>
      <c r="H76" s="32"/>
      <c r="I76" s="9"/>
      <c r="J76" s="9"/>
      <c r="K76" s="8"/>
      <c r="L76" s="9"/>
      <c r="M76" s="9"/>
      <c r="N76" s="9"/>
      <c r="O76" s="19"/>
      <c r="P76" s="10"/>
    </row>
    <row r="77" spans="1:16">
      <c r="A77" s="7">
        <f t="shared" si="1"/>
        <v>42223</v>
      </c>
      <c r="B77" s="27"/>
      <c r="C77" s="8"/>
      <c r="D77" s="9"/>
      <c r="E77" s="8"/>
      <c r="F77" s="8"/>
      <c r="G77" s="8"/>
      <c r="H77" s="32"/>
      <c r="I77" s="9"/>
      <c r="J77" s="9"/>
      <c r="K77" s="8"/>
      <c r="L77" s="9"/>
      <c r="M77" s="9"/>
      <c r="N77" s="9"/>
      <c r="O77" s="19"/>
      <c r="P77" s="10"/>
    </row>
    <row r="78" spans="1:16">
      <c r="A78" s="7">
        <f t="shared" si="1"/>
        <v>42224</v>
      </c>
      <c r="B78" s="27"/>
      <c r="C78" s="8"/>
      <c r="D78" s="9"/>
      <c r="E78" s="8"/>
      <c r="F78" s="8"/>
      <c r="G78" s="8"/>
      <c r="H78" s="32"/>
      <c r="I78" s="9"/>
      <c r="J78" s="9"/>
      <c r="K78" s="8"/>
      <c r="L78" s="9"/>
      <c r="M78" s="9"/>
      <c r="N78" s="9"/>
      <c r="O78" s="19"/>
      <c r="P78" s="10"/>
    </row>
    <row r="79" spans="1:16">
      <c r="A79" s="7">
        <f t="shared" si="1"/>
        <v>42225</v>
      </c>
      <c r="B79" s="27"/>
      <c r="C79" s="8"/>
      <c r="D79" s="9"/>
      <c r="E79" s="8"/>
      <c r="F79" s="8"/>
      <c r="G79" s="8"/>
      <c r="H79" s="32"/>
      <c r="I79" s="9"/>
      <c r="J79" s="9"/>
      <c r="K79" s="8"/>
      <c r="L79" s="9"/>
      <c r="M79" s="9"/>
      <c r="N79" s="9"/>
      <c r="O79" s="19"/>
      <c r="P79" s="10"/>
    </row>
    <row r="80" spans="1:16">
      <c r="A80" s="7">
        <f t="shared" si="1"/>
        <v>42226</v>
      </c>
      <c r="B80" s="27"/>
      <c r="C80" s="27"/>
      <c r="D80" s="21"/>
      <c r="E80" s="27"/>
      <c r="F80" s="29">
        <f>IFERROR(IF(INPUTS!B81="Male", 86.01*LOG(C80-D80)-70.041*LOG(INPUTS!B$7)+30.3, 163.205*LOG('BULKING TRACKER'!C80+'BULKING TRACKER'!E80-'BULKING TRACKER'!D80)-97.684*LOG(INPUTS!B$7)-104.912),0)</f>
        <v>0</v>
      </c>
      <c r="G80" s="11" t="str">
        <f>IF(B80&gt;0, AVERAGE(B74:B80), " ")</f>
        <v xml:space="preserve"> </v>
      </c>
      <c r="H80" s="30">
        <f>IFERROR(IF(B80&gt;0, (G73-G80)/G73,0.007), 0)</f>
        <v>7.0000000000000001E-3</v>
      </c>
      <c r="I80" s="13" t="str">
        <f>IF(H80&lt;0, "Cut 200kcal", "")</f>
        <v/>
      </c>
      <c r="J80" s="13" t="str">
        <f>IF(AND(H80&lt;0.005, H80&gt;=0), "Cut 100kcal", "")</f>
        <v/>
      </c>
      <c r="K80" s="13" t="str">
        <f>IF(AND(H80&lt;0.006, H80&gt;=0.005), "Cut 50kcal", "")</f>
        <v/>
      </c>
      <c r="L80" s="13" t="str">
        <f>IF(AND(H80&lt;0.008, H80&gt;=0.006), "Remain Constant", "")</f>
        <v>Remain Constant</v>
      </c>
      <c r="M80" s="13" t="str">
        <f>IF(AND(H80&gt;=0.008,H80&lt;0.01), "Add 50kcal", "")</f>
        <v/>
      </c>
      <c r="N80" s="13" t="str">
        <f>IF(H80&gt;=0.01, "Add 100kcal", "")</f>
        <v/>
      </c>
      <c r="O80" s="20"/>
      <c r="P80" s="5" t="str">
        <f>IF(O80&gt;0,P73+O80,"")</f>
        <v/>
      </c>
    </row>
    <row r="81" spans="1:16">
      <c r="A81" s="7">
        <f t="shared" si="1"/>
        <v>42227</v>
      </c>
      <c r="B81" s="27"/>
      <c r="C81" s="8"/>
      <c r="D81" s="9"/>
      <c r="E81" s="8"/>
      <c r="F81" s="8"/>
      <c r="G81" s="8"/>
      <c r="H81" s="32"/>
      <c r="I81" s="9"/>
      <c r="J81" s="9"/>
      <c r="K81" s="8"/>
      <c r="L81" s="9"/>
      <c r="M81" s="9"/>
      <c r="N81" s="9"/>
      <c r="O81" s="19"/>
      <c r="P81" s="10"/>
    </row>
    <row r="82" spans="1:16">
      <c r="A82" s="7">
        <f t="shared" si="1"/>
        <v>42228</v>
      </c>
      <c r="B82" s="27"/>
      <c r="C82" s="8"/>
      <c r="D82" s="9"/>
      <c r="E82" s="8"/>
      <c r="F82" s="8"/>
      <c r="G82" s="8"/>
      <c r="H82" s="32"/>
      <c r="I82" s="9"/>
      <c r="J82" s="9"/>
      <c r="K82" s="8"/>
      <c r="L82" s="9"/>
      <c r="M82" s="9"/>
      <c r="N82" s="9"/>
      <c r="O82" s="19"/>
      <c r="P82" s="10"/>
    </row>
    <row r="83" spans="1:16">
      <c r="A83" s="7">
        <f t="shared" si="1"/>
        <v>42229</v>
      </c>
      <c r="B83" s="27"/>
      <c r="C83" s="8"/>
      <c r="D83" s="9"/>
      <c r="E83" s="8"/>
      <c r="F83" s="8"/>
      <c r="G83" s="8"/>
      <c r="H83" s="32"/>
      <c r="I83" s="9"/>
      <c r="J83" s="9"/>
      <c r="K83" s="8"/>
      <c r="L83" s="9"/>
      <c r="M83" s="9"/>
      <c r="N83" s="9"/>
      <c r="O83" s="19"/>
      <c r="P83" s="10"/>
    </row>
    <row r="84" spans="1:16">
      <c r="A84" s="7">
        <f t="shared" si="1"/>
        <v>42230</v>
      </c>
      <c r="B84" s="27"/>
      <c r="C84" s="8"/>
      <c r="D84" s="9"/>
      <c r="E84" s="8"/>
      <c r="F84" s="8"/>
      <c r="G84" s="8"/>
      <c r="H84" s="32"/>
      <c r="I84" s="9"/>
      <c r="J84" s="9"/>
      <c r="K84" s="8"/>
      <c r="L84" s="9"/>
      <c r="M84" s="9"/>
      <c r="N84" s="9"/>
      <c r="O84" s="19"/>
      <c r="P84" s="10"/>
    </row>
    <row r="85" spans="1:16">
      <c r="A85" s="7">
        <f t="shared" si="1"/>
        <v>42231</v>
      </c>
      <c r="B85" s="27"/>
      <c r="C85" s="8"/>
      <c r="D85" s="9"/>
      <c r="E85" s="8"/>
      <c r="F85" s="8"/>
      <c r="G85" s="8"/>
      <c r="H85" s="32"/>
      <c r="I85" s="9"/>
      <c r="J85" s="9"/>
      <c r="K85" s="8"/>
      <c r="L85" s="9"/>
      <c r="M85" s="9"/>
      <c r="N85" s="9"/>
      <c r="O85" s="19"/>
      <c r="P85" s="10"/>
    </row>
    <row r="86" spans="1:16">
      <c r="A86" s="7">
        <f t="shared" si="1"/>
        <v>42232</v>
      </c>
      <c r="B86" s="27"/>
      <c r="C86" s="8"/>
      <c r="D86" s="9"/>
      <c r="E86" s="8"/>
      <c r="F86" s="8"/>
      <c r="G86" s="8"/>
      <c r="H86" s="32"/>
      <c r="I86" s="9"/>
      <c r="J86" s="9"/>
      <c r="K86" s="8"/>
      <c r="L86" s="9"/>
      <c r="M86" s="9"/>
      <c r="N86" s="9"/>
      <c r="O86" s="19"/>
      <c r="P86" s="10"/>
    </row>
    <row r="87" spans="1:16">
      <c r="A87" s="7">
        <f t="shared" si="1"/>
        <v>42233</v>
      </c>
      <c r="B87" s="27"/>
      <c r="C87" s="27"/>
      <c r="D87" s="21"/>
      <c r="E87" s="27"/>
      <c r="F87" s="29">
        <f>IFERROR(IF(INPUTS!B88="Male", 86.01*LOG(C87-D87)-70.041*LOG(INPUTS!B$7)+30.3, 163.205*LOG('BULKING TRACKER'!C87+'BULKING TRACKER'!E87-'BULKING TRACKER'!D87)-97.684*LOG(INPUTS!B$7)-104.912),0)</f>
        <v>0</v>
      </c>
      <c r="G87" s="11" t="str">
        <f>IF(B87&gt;0, AVERAGE(B81:B87), " ")</f>
        <v xml:space="preserve"> </v>
      </c>
      <c r="H87" s="30">
        <f>IFERROR(IF(B87&gt;0, (G80-G87)/G80,0.007), 0)</f>
        <v>7.0000000000000001E-3</v>
      </c>
      <c r="I87" s="13" t="str">
        <f>IF(H87&lt;0, "Cut 200kcal", "")</f>
        <v/>
      </c>
      <c r="J87" s="13" t="str">
        <f>IF(AND(H87&lt;0.005, H87&gt;=0), "Cut 100kcal", "")</f>
        <v/>
      </c>
      <c r="K87" s="13" t="str">
        <f>IF(AND(H87&lt;0.006, H87&gt;=0.005), "Cut 50kcal", "")</f>
        <v/>
      </c>
      <c r="L87" s="13" t="str">
        <f>IF(AND(H87&lt;0.008, H87&gt;=0.006), "Remain Constant", "")</f>
        <v>Remain Constant</v>
      </c>
      <c r="M87" s="13" t="str">
        <f>IF(AND(H87&gt;=0.008,H87&lt;0.01), "Add 50kcal", "")</f>
        <v/>
      </c>
      <c r="N87" s="13" t="str">
        <f>IF(H87&gt;=0.01, "Add 100kcal", "")</f>
        <v/>
      </c>
      <c r="O87" s="20"/>
      <c r="P87" s="5" t="str">
        <f>IF(O87&gt;0,P80+O87,"")</f>
        <v/>
      </c>
    </row>
    <row r="88" spans="1:16">
      <c r="A88" s="7">
        <f t="shared" si="1"/>
        <v>42234</v>
      </c>
      <c r="B88" s="27"/>
      <c r="C88" s="8"/>
      <c r="D88" s="9"/>
      <c r="E88" s="8"/>
      <c r="F88" s="8"/>
      <c r="G88" s="8"/>
      <c r="H88" s="32"/>
      <c r="I88" s="9"/>
      <c r="J88" s="9"/>
      <c r="K88" s="8"/>
      <c r="L88" s="9"/>
      <c r="M88" s="9"/>
      <c r="N88" s="9"/>
      <c r="O88" s="19"/>
      <c r="P88" s="10"/>
    </row>
    <row r="89" spans="1:16">
      <c r="A89" s="7">
        <f t="shared" si="1"/>
        <v>42235</v>
      </c>
      <c r="B89" s="27"/>
      <c r="C89" s="8"/>
      <c r="D89" s="9"/>
      <c r="E89" s="8"/>
      <c r="F89" s="8"/>
      <c r="G89" s="8"/>
      <c r="H89" s="32"/>
      <c r="I89" s="9"/>
      <c r="J89" s="9"/>
      <c r="K89" s="8"/>
      <c r="L89" s="9"/>
      <c r="M89" s="9"/>
      <c r="N89" s="9"/>
      <c r="O89" s="19"/>
      <c r="P89" s="10"/>
    </row>
    <row r="90" spans="1:16">
      <c r="A90" s="7">
        <f t="shared" si="1"/>
        <v>42236</v>
      </c>
      <c r="B90" s="27"/>
      <c r="C90" s="8"/>
      <c r="D90" s="9"/>
      <c r="E90" s="8"/>
      <c r="F90" s="8"/>
      <c r="G90" s="8"/>
      <c r="H90" s="32"/>
      <c r="I90" s="9"/>
      <c r="J90" s="9"/>
      <c r="K90" s="8"/>
      <c r="L90" s="9"/>
      <c r="M90" s="9"/>
      <c r="N90" s="9"/>
      <c r="O90" s="19"/>
      <c r="P90" s="10"/>
    </row>
    <row r="91" spans="1:16">
      <c r="A91" s="7">
        <f t="shared" si="1"/>
        <v>42237</v>
      </c>
      <c r="B91" s="27"/>
      <c r="C91" s="8"/>
      <c r="D91" s="9"/>
      <c r="E91" s="8"/>
      <c r="F91" s="8"/>
      <c r="G91" s="8"/>
      <c r="H91" s="32"/>
      <c r="I91" s="9"/>
      <c r="J91" s="9"/>
      <c r="K91" s="8"/>
      <c r="L91" s="9"/>
      <c r="M91" s="9"/>
      <c r="N91" s="9"/>
      <c r="O91" s="19"/>
      <c r="P91" s="10"/>
    </row>
    <row r="92" spans="1:16">
      <c r="A92" s="7">
        <f t="shared" si="1"/>
        <v>42238</v>
      </c>
      <c r="B92" s="27"/>
      <c r="C92" s="8"/>
      <c r="D92" s="9"/>
      <c r="E92" s="8"/>
      <c r="F92" s="8"/>
      <c r="G92" s="8"/>
      <c r="H92" s="32"/>
      <c r="I92" s="9"/>
      <c r="J92" s="9"/>
      <c r="K92" s="8"/>
      <c r="L92" s="9"/>
      <c r="M92" s="9"/>
      <c r="N92" s="9"/>
      <c r="O92" s="19"/>
      <c r="P92" s="10"/>
    </row>
    <row r="93" spans="1:16">
      <c r="A93" s="7">
        <f t="shared" si="1"/>
        <v>42239</v>
      </c>
      <c r="B93" s="27"/>
      <c r="C93" s="8"/>
      <c r="D93" s="9"/>
      <c r="E93" s="8"/>
      <c r="F93" s="8"/>
      <c r="G93" s="8"/>
      <c r="H93" s="32"/>
      <c r="I93" s="9"/>
      <c r="J93" s="9"/>
      <c r="K93" s="8"/>
      <c r="L93" s="9"/>
      <c r="M93" s="9"/>
      <c r="N93" s="9"/>
      <c r="O93" s="19"/>
      <c r="P93" s="10"/>
    </row>
    <row r="94" spans="1:16">
      <c r="A94" s="7">
        <f t="shared" si="1"/>
        <v>42240</v>
      </c>
      <c r="B94" s="27"/>
      <c r="C94" s="27"/>
      <c r="D94" s="21"/>
      <c r="E94" s="27"/>
      <c r="F94" s="29">
        <f>IFERROR(IF(INPUTS!B95="Male", 86.01*LOG(C94-D94)-70.041*LOG(INPUTS!B$7)+30.3, 163.205*LOG('BULKING TRACKER'!C94+'BULKING TRACKER'!E94-'BULKING TRACKER'!D94)-97.684*LOG(INPUTS!B$7)-104.912),0)</f>
        <v>0</v>
      </c>
      <c r="G94" s="11" t="str">
        <f>IF(B94&gt;0, AVERAGE(B88:B94), " ")</f>
        <v xml:space="preserve"> </v>
      </c>
      <c r="H94" s="30">
        <f>IFERROR(IF(B94&gt;0, (G87-G94)/G87,0.007), 0)</f>
        <v>7.0000000000000001E-3</v>
      </c>
      <c r="I94" s="13" t="str">
        <f>IF(H94&lt;0, "Cut 200kcal", "")</f>
        <v/>
      </c>
      <c r="J94" s="13" t="str">
        <f>IF(AND(H94&lt;0.005, H94&gt;=0), "Cut 100kcal", "")</f>
        <v/>
      </c>
      <c r="K94" s="13" t="str">
        <f>IF(AND(H94&lt;0.006, H94&gt;=0.005), "Cut 50kcal", "")</f>
        <v/>
      </c>
      <c r="L94" s="13" t="str">
        <f>IF(AND(H94&lt;0.008, H94&gt;=0.006), "Remain Constant", "")</f>
        <v>Remain Constant</v>
      </c>
      <c r="M94" s="13" t="str">
        <f>IF(AND(H94&gt;=0.008,H94&lt;0.01), "Add 50kcal", "")</f>
        <v/>
      </c>
      <c r="N94" s="13" t="str">
        <f>IF(H94&gt;=0.01, "Add 100kcal", "")</f>
        <v/>
      </c>
      <c r="O94" s="20"/>
      <c r="P94" s="5" t="str">
        <f>IF(O94&gt;0,P87+O94,"")</f>
        <v/>
      </c>
    </row>
    <row r="95" spans="1:16">
      <c r="A95" s="7">
        <f t="shared" si="1"/>
        <v>42241</v>
      </c>
      <c r="B95" s="27"/>
      <c r="C95" s="8"/>
      <c r="D95" s="9"/>
      <c r="E95" s="8"/>
      <c r="F95" s="8"/>
      <c r="G95" s="8"/>
      <c r="H95" s="32"/>
      <c r="I95" s="9"/>
      <c r="J95" s="9"/>
      <c r="K95" s="8"/>
      <c r="L95" s="9"/>
      <c r="M95" s="9"/>
      <c r="N95" s="9"/>
      <c r="O95" s="19"/>
      <c r="P95" s="10"/>
    </row>
    <row r="96" spans="1:16">
      <c r="A96" s="7">
        <f t="shared" si="1"/>
        <v>42242</v>
      </c>
      <c r="B96" s="27"/>
      <c r="C96" s="8"/>
      <c r="D96" s="9"/>
      <c r="E96" s="8"/>
      <c r="F96" s="8"/>
      <c r="G96" s="8"/>
      <c r="H96" s="32"/>
      <c r="I96" s="9"/>
      <c r="J96" s="9"/>
      <c r="K96" s="8"/>
      <c r="L96" s="9"/>
      <c r="M96" s="9"/>
      <c r="N96" s="9"/>
      <c r="O96" s="19"/>
      <c r="P96" s="10"/>
    </row>
    <row r="97" spans="1:16">
      <c r="A97" s="7">
        <f t="shared" si="1"/>
        <v>42243</v>
      </c>
      <c r="B97" s="27"/>
      <c r="C97" s="8"/>
      <c r="D97" s="9"/>
      <c r="E97" s="8"/>
      <c r="F97" s="8"/>
      <c r="G97" s="8"/>
      <c r="H97" s="32"/>
      <c r="I97" s="9"/>
      <c r="J97" s="9"/>
      <c r="K97" s="8"/>
      <c r="L97" s="9"/>
      <c r="M97" s="9"/>
      <c r="N97" s="9"/>
      <c r="O97" s="19"/>
      <c r="P97" s="10"/>
    </row>
    <row r="98" spans="1:16">
      <c r="A98" s="7">
        <f t="shared" si="1"/>
        <v>42244</v>
      </c>
      <c r="B98" s="27"/>
      <c r="C98" s="8"/>
      <c r="D98" s="9"/>
      <c r="E98" s="8"/>
      <c r="F98" s="8"/>
      <c r="G98" s="8"/>
      <c r="H98" s="32"/>
      <c r="I98" s="9"/>
      <c r="J98" s="9"/>
      <c r="K98" s="8"/>
      <c r="L98" s="9"/>
      <c r="M98" s="9"/>
      <c r="N98" s="9"/>
      <c r="O98" s="19"/>
      <c r="P98" s="10"/>
    </row>
    <row r="99" spans="1:16">
      <c r="A99" s="7">
        <f t="shared" si="1"/>
        <v>42245</v>
      </c>
      <c r="B99" s="27"/>
      <c r="C99" s="8"/>
      <c r="D99" s="9"/>
      <c r="E99" s="8"/>
      <c r="F99" s="8"/>
      <c r="G99" s="8"/>
      <c r="H99" s="32"/>
      <c r="I99" s="9"/>
      <c r="J99" s="9"/>
      <c r="K99" s="8"/>
      <c r="L99" s="9"/>
      <c r="M99" s="9"/>
      <c r="N99" s="9"/>
      <c r="O99" s="19"/>
      <c r="P99" s="10"/>
    </row>
    <row r="100" spans="1:16">
      <c r="A100" s="7">
        <f t="shared" si="1"/>
        <v>42246</v>
      </c>
      <c r="B100" s="27"/>
      <c r="C100" s="8"/>
      <c r="D100" s="9"/>
      <c r="E100" s="8"/>
      <c r="F100" s="8"/>
      <c r="G100" s="8"/>
      <c r="H100" s="32"/>
      <c r="I100" s="9"/>
      <c r="J100" s="9"/>
      <c r="K100" s="8"/>
      <c r="L100" s="9"/>
      <c r="M100" s="9"/>
      <c r="N100" s="9"/>
      <c r="O100" s="19"/>
      <c r="P100" s="10"/>
    </row>
    <row r="101" spans="1:16">
      <c r="A101" s="7">
        <f t="shared" si="1"/>
        <v>42247</v>
      </c>
      <c r="B101" s="27"/>
      <c r="C101" s="27"/>
      <c r="D101" s="21"/>
      <c r="E101" s="27"/>
      <c r="F101" s="29">
        <f>IFERROR(IF(INPUTS!B102="Male", 86.01*LOG(C101-D101)-70.041*LOG(INPUTS!B$7)+30.3, 163.205*LOG('BULKING TRACKER'!C101+'BULKING TRACKER'!E101-'BULKING TRACKER'!D101)-97.684*LOG(INPUTS!B$7)-104.912),0)</f>
        <v>0</v>
      </c>
      <c r="G101" s="11" t="str">
        <f>IF(B101&gt;0, AVERAGE(B95:B101), " ")</f>
        <v xml:space="preserve"> </v>
      </c>
      <c r="H101" s="30">
        <f>IFERROR(IF(B101&gt;0, (G94-G101)/G94,0.007), 0)</f>
        <v>7.0000000000000001E-3</v>
      </c>
      <c r="I101" s="13" t="str">
        <f>IF(H101&lt;0, "Cut 200kcal", "")</f>
        <v/>
      </c>
      <c r="J101" s="13" t="str">
        <f>IF(AND(H101&lt;0.005, H101&gt;=0), "Cut 100kcal", "")</f>
        <v/>
      </c>
      <c r="K101" s="13" t="str">
        <f>IF(AND(H101&lt;0.006, H101&gt;=0.005), "Cut 50kcal", "")</f>
        <v/>
      </c>
      <c r="L101" s="13" t="str">
        <f>IF(AND(H101&lt;0.008, H101&gt;=0.006), "Remain Constant", "")</f>
        <v>Remain Constant</v>
      </c>
      <c r="M101" s="13" t="str">
        <f>IF(AND(H101&gt;=0.008,H101&lt;0.01), "Add 50kcal", "")</f>
        <v/>
      </c>
      <c r="N101" s="13" t="str">
        <f>IF(H101&gt;=0.01, "Add 100kcal", "")</f>
        <v/>
      </c>
      <c r="O101" s="20"/>
      <c r="P101" s="5" t="str">
        <f>IF(O101&gt;0,P94+O101,"")</f>
        <v/>
      </c>
    </row>
    <row r="102" spans="1:16">
      <c r="A102" s="7">
        <f t="shared" si="1"/>
        <v>42248</v>
      </c>
      <c r="B102" s="27"/>
      <c r="C102" s="8"/>
      <c r="D102" s="9"/>
      <c r="E102" s="8"/>
      <c r="F102" s="8"/>
      <c r="G102" s="8"/>
      <c r="H102" s="32"/>
      <c r="I102" s="9"/>
      <c r="J102" s="9"/>
      <c r="K102" s="8"/>
      <c r="L102" s="9"/>
      <c r="M102" s="9"/>
      <c r="N102" s="9"/>
      <c r="O102" s="19"/>
      <c r="P102" s="10"/>
    </row>
    <row r="103" spans="1:16">
      <c r="A103" s="7">
        <f t="shared" si="1"/>
        <v>42249</v>
      </c>
      <c r="B103" s="27"/>
      <c r="C103" s="8"/>
      <c r="D103" s="9"/>
      <c r="E103" s="8"/>
      <c r="F103" s="8"/>
      <c r="G103" s="8"/>
      <c r="H103" s="32"/>
      <c r="I103" s="9"/>
      <c r="J103" s="9"/>
      <c r="K103" s="8"/>
      <c r="L103" s="9"/>
      <c r="M103" s="9"/>
      <c r="N103" s="9"/>
      <c r="O103" s="19"/>
      <c r="P103" s="10"/>
    </row>
    <row r="104" spans="1:16">
      <c r="A104" s="7">
        <f t="shared" si="1"/>
        <v>42250</v>
      </c>
      <c r="B104" s="27"/>
      <c r="C104" s="8"/>
      <c r="D104" s="9"/>
      <c r="E104" s="8"/>
      <c r="F104" s="8"/>
      <c r="G104" s="8"/>
      <c r="H104" s="32"/>
      <c r="I104" s="9"/>
      <c r="J104" s="9"/>
      <c r="K104" s="8"/>
      <c r="L104" s="9"/>
      <c r="M104" s="9"/>
      <c r="N104" s="9"/>
      <c r="O104" s="19"/>
      <c r="P104" s="10"/>
    </row>
    <row r="105" spans="1:16">
      <c r="A105" s="7">
        <f t="shared" si="1"/>
        <v>42251</v>
      </c>
      <c r="B105" s="27"/>
      <c r="C105" s="8"/>
      <c r="D105" s="9"/>
      <c r="E105" s="8"/>
      <c r="F105" s="8"/>
      <c r="G105" s="8"/>
      <c r="H105" s="32"/>
      <c r="I105" s="9"/>
      <c r="J105" s="9"/>
      <c r="K105" s="8"/>
      <c r="L105" s="9"/>
      <c r="M105" s="9"/>
      <c r="N105" s="9"/>
      <c r="O105" s="19"/>
      <c r="P105" s="10"/>
    </row>
    <row r="106" spans="1:16">
      <c r="A106" s="7">
        <f t="shared" si="1"/>
        <v>42252</v>
      </c>
      <c r="B106" s="27"/>
      <c r="C106" s="8"/>
      <c r="D106" s="9"/>
      <c r="E106" s="8"/>
      <c r="F106" s="8"/>
      <c r="G106" s="8"/>
      <c r="H106" s="32"/>
      <c r="I106" s="9"/>
      <c r="J106" s="9"/>
      <c r="K106" s="8"/>
      <c r="L106" s="9"/>
      <c r="M106" s="9"/>
      <c r="N106" s="9"/>
      <c r="O106" s="19"/>
      <c r="P106" s="10"/>
    </row>
    <row r="107" spans="1:16">
      <c r="A107" s="7">
        <f t="shared" si="1"/>
        <v>42253</v>
      </c>
      <c r="B107" s="27"/>
      <c r="C107" s="8"/>
      <c r="D107" s="9"/>
      <c r="E107" s="8"/>
      <c r="F107" s="8"/>
      <c r="G107" s="8"/>
      <c r="H107" s="32"/>
      <c r="I107" s="9"/>
      <c r="J107" s="9"/>
      <c r="K107" s="8"/>
      <c r="L107" s="9"/>
      <c r="M107" s="9"/>
      <c r="N107" s="9"/>
      <c r="O107" s="19"/>
      <c r="P107" s="10"/>
    </row>
    <row r="108" spans="1:16">
      <c r="A108" s="7">
        <f t="shared" si="1"/>
        <v>42254</v>
      </c>
      <c r="B108" s="27"/>
      <c r="C108" s="27"/>
      <c r="D108" s="21"/>
      <c r="E108" s="27"/>
      <c r="F108" s="29">
        <f>IFERROR(IF(INPUTS!B109="Male", 86.01*LOG(C108-D108)-70.041*LOG(INPUTS!B$7)+30.3, 163.205*LOG('BULKING TRACKER'!C108+'BULKING TRACKER'!E108-'BULKING TRACKER'!D108)-97.684*LOG(INPUTS!B$7)-104.912),0)</f>
        <v>0</v>
      </c>
      <c r="G108" s="11" t="str">
        <f>IF(B108&gt;0, AVERAGE(B102:B108), " ")</f>
        <v xml:space="preserve"> </v>
      </c>
      <c r="H108" s="30">
        <f>IFERROR(IF(B108&gt;0, (G101-G108)/G101,0.007), 0)</f>
        <v>7.0000000000000001E-3</v>
      </c>
      <c r="I108" s="13" t="str">
        <f>IF(H108&lt;0, "Cut 200kcal", "")</f>
        <v/>
      </c>
      <c r="J108" s="13" t="str">
        <f>IF(AND(H108&lt;0.005, H108&gt;=0), "Cut 100kcal", "")</f>
        <v/>
      </c>
      <c r="K108" s="13" t="str">
        <f>IF(AND(H108&lt;0.006, H108&gt;=0.005), "Cut 50kcal", "")</f>
        <v/>
      </c>
      <c r="L108" s="13" t="str">
        <f>IF(AND(H108&lt;0.008, H108&gt;=0.006), "Remain Constant", "")</f>
        <v>Remain Constant</v>
      </c>
      <c r="M108" s="13" t="str">
        <f>IF(AND(H108&gt;=0.008,H108&lt;0.01), "Add 50kcal", "")</f>
        <v/>
      </c>
      <c r="N108" s="13" t="str">
        <f>IF(H108&gt;=0.01, "Add 100kcal", "")</f>
        <v/>
      </c>
      <c r="O108" s="20"/>
      <c r="P108" s="5" t="str">
        <f>IF(O108&gt;0,P101+O108,"")</f>
        <v/>
      </c>
    </row>
    <row r="109" spans="1:16">
      <c r="A109" s="7">
        <f t="shared" si="1"/>
        <v>42255</v>
      </c>
      <c r="B109" s="27"/>
      <c r="C109" s="8"/>
      <c r="D109" s="9"/>
      <c r="E109" s="8"/>
      <c r="F109" s="8"/>
      <c r="G109" s="8"/>
      <c r="H109" s="32"/>
      <c r="I109" s="9"/>
      <c r="J109" s="9"/>
      <c r="K109" s="8"/>
      <c r="L109" s="9"/>
      <c r="M109" s="9"/>
      <c r="N109" s="9"/>
      <c r="O109" s="19"/>
      <c r="P109" s="10"/>
    </row>
    <row r="110" spans="1:16">
      <c r="A110" s="7">
        <f t="shared" si="1"/>
        <v>42256</v>
      </c>
      <c r="B110" s="27"/>
      <c r="C110" s="8"/>
      <c r="D110" s="9"/>
      <c r="E110" s="8"/>
      <c r="F110" s="8"/>
      <c r="G110" s="8"/>
      <c r="H110" s="32"/>
      <c r="I110" s="9"/>
      <c r="J110" s="9"/>
      <c r="K110" s="8"/>
      <c r="L110" s="9"/>
      <c r="M110" s="9"/>
      <c r="N110" s="9"/>
      <c r="O110" s="19"/>
      <c r="P110" s="10"/>
    </row>
    <row r="111" spans="1:16">
      <c r="A111" s="7">
        <f t="shared" si="1"/>
        <v>42257</v>
      </c>
      <c r="B111" s="27"/>
      <c r="C111" s="8"/>
      <c r="D111" s="9"/>
      <c r="E111" s="8"/>
      <c r="F111" s="8"/>
      <c r="G111" s="8"/>
      <c r="H111" s="32"/>
      <c r="I111" s="9"/>
      <c r="J111" s="9"/>
      <c r="K111" s="8"/>
      <c r="L111" s="9"/>
      <c r="M111" s="9"/>
      <c r="N111" s="9"/>
      <c r="O111" s="19"/>
      <c r="P111" s="10"/>
    </row>
    <row r="112" spans="1:16">
      <c r="A112" s="7">
        <f t="shared" si="1"/>
        <v>42258</v>
      </c>
      <c r="B112" s="27"/>
      <c r="C112" s="8"/>
      <c r="D112" s="9"/>
      <c r="E112" s="8"/>
      <c r="F112" s="8"/>
      <c r="G112" s="8"/>
      <c r="H112" s="32"/>
      <c r="I112" s="9"/>
      <c r="J112" s="9"/>
      <c r="K112" s="8"/>
      <c r="L112" s="9"/>
      <c r="M112" s="9"/>
      <c r="N112" s="9"/>
      <c r="O112" s="19"/>
      <c r="P112" s="10"/>
    </row>
    <row r="113" spans="1:16">
      <c r="A113" s="7">
        <f t="shared" si="1"/>
        <v>42259</v>
      </c>
      <c r="B113" s="27"/>
      <c r="C113" s="8"/>
      <c r="D113" s="9"/>
      <c r="E113" s="8"/>
      <c r="F113" s="8"/>
      <c r="G113" s="8"/>
      <c r="H113" s="32"/>
      <c r="I113" s="9"/>
      <c r="J113" s="9"/>
      <c r="K113" s="8"/>
      <c r="L113" s="9"/>
      <c r="M113" s="9"/>
      <c r="N113" s="9"/>
      <c r="O113" s="19"/>
      <c r="P113" s="10"/>
    </row>
    <row r="114" spans="1:16">
      <c r="A114" s="7">
        <f t="shared" si="1"/>
        <v>42260</v>
      </c>
      <c r="B114" s="27"/>
      <c r="C114" s="8"/>
      <c r="D114" s="9"/>
      <c r="E114" s="8"/>
      <c r="F114" s="8"/>
      <c r="G114" s="8"/>
      <c r="H114" s="32"/>
      <c r="I114" s="9"/>
      <c r="J114" s="9"/>
      <c r="K114" s="8"/>
      <c r="L114" s="9"/>
      <c r="M114" s="9"/>
      <c r="N114" s="9"/>
      <c r="O114" s="19"/>
      <c r="P114" s="10"/>
    </row>
    <row r="115" spans="1:16">
      <c r="A115" s="7">
        <f t="shared" si="1"/>
        <v>42261</v>
      </c>
      <c r="B115" s="27"/>
      <c r="C115" s="27"/>
      <c r="D115" s="21"/>
      <c r="E115" s="27"/>
      <c r="F115" s="29">
        <f>IFERROR(IF(INPUTS!B116="Male", 86.01*LOG(C115-D115)-70.041*LOG(INPUTS!B$7)+30.3, 163.205*LOG('BULKING TRACKER'!C115+'BULKING TRACKER'!E115-'BULKING TRACKER'!D115)-97.684*LOG(INPUTS!B$7)-104.912),0)</f>
        <v>0</v>
      </c>
      <c r="G115" s="11" t="str">
        <f>IF(B115&gt;0, AVERAGE(B109:B115), " ")</f>
        <v xml:space="preserve"> </v>
      </c>
      <c r="H115" s="30">
        <f>IFERROR(IF(B115&gt;0, (G108-G115)/G108,0.007), 0)</f>
        <v>7.0000000000000001E-3</v>
      </c>
      <c r="I115" s="13" t="str">
        <f>IF(H115&lt;0, "Cut 200kcal", "")</f>
        <v/>
      </c>
      <c r="J115" s="13" t="str">
        <f>IF(AND(H115&lt;0.005, H115&gt;=0), "Cut 100kcal", "")</f>
        <v/>
      </c>
      <c r="K115" s="13" t="str">
        <f>IF(AND(H115&lt;0.006, H115&gt;=0.005), "Cut 50kcal", "")</f>
        <v/>
      </c>
      <c r="L115" s="13" t="str">
        <f>IF(AND(H115&lt;0.008, H115&gt;=0.006), "Remain Constant", "")</f>
        <v>Remain Constant</v>
      </c>
      <c r="M115" s="13" t="str">
        <f>IF(AND(H115&gt;=0.008,H115&lt;0.01), "Add 50kcal", "")</f>
        <v/>
      </c>
      <c r="N115" s="13" t="str">
        <f>IF(H115&gt;=0.01, "Add 100kcal", "")</f>
        <v/>
      </c>
      <c r="O115" s="20"/>
      <c r="P115" s="5" t="str">
        <f>IF(O115&gt;0,P108+O115,"")</f>
        <v/>
      </c>
    </row>
    <row r="116" spans="1:16">
      <c r="A116" s="7">
        <f t="shared" si="1"/>
        <v>42262</v>
      </c>
      <c r="B116" s="27"/>
      <c r="C116" s="8"/>
      <c r="D116" s="9"/>
      <c r="E116" s="8"/>
      <c r="F116" s="8"/>
      <c r="G116" s="8"/>
      <c r="H116" s="32"/>
      <c r="I116" s="9"/>
      <c r="J116" s="9"/>
      <c r="K116" s="8"/>
      <c r="L116" s="9"/>
      <c r="M116" s="9"/>
      <c r="N116" s="9"/>
      <c r="O116" s="19"/>
      <c r="P116" s="10"/>
    </row>
    <row r="117" spans="1:16">
      <c r="A117" s="7">
        <f t="shared" si="1"/>
        <v>42263</v>
      </c>
      <c r="B117" s="27"/>
      <c r="C117" s="8"/>
      <c r="D117" s="9"/>
      <c r="E117" s="8"/>
      <c r="F117" s="8"/>
      <c r="G117" s="8"/>
      <c r="H117" s="32"/>
      <c r="I117" s="9"/>
      <c r="J117" s="9"/>
      <c r="K117" s="8"/>
      <c r="L117" s="9"/>
      <c r="M117" s="9"/>
      <c r="N117" s="9"/>
      <c r="O117" s="19"/>
      <c r="P117" s="10"/>
    </row>
    <row r="118" spans="1:16">
      <c r="A118" s="7">
        <f t="shared" si="1"/>
        <v>42264</v>
      </c>
      <c r="B118" s="27"/>
      <c r="C118" s="8"/>
      <c r="D118" s="9"/>
      <c r="E118" s="8"/>
      <c r="F118" s="8"/>
      <c r="G118" s="8"/>
      <c r="H118" s="32"/>
      <c r="I118" s="9"/>
      <c r="J118" s="9"/>
      <c r="K118" s="8"/>
      <c r="L118" s="9"/>
      <c r="M118" s="9"/>
      <c r="N118" s="9"/>
      <c r="O118" s="19"/>
      <c r="P118" s="10"/>
    </row>
    <row r="119" spans="1:16">
      <c r="A119" s="7">
        <f t="shared" si="1"/>
        <v>42265</v>
      </c>
      <c r="B119" s="27"/>
      <c r="C119" s="8"/>
      <c r="D119" s="9"/>
      <c r="E119" s="8"/>
      <c r="F119" s="8"/>
      <c r="G119" s="8"/>
      <c r="H119" s="32"/>
      <c r="I119" s="9"/>
      <c r="J119" s="9"/>
      <c r="K119" s="8"/>
      <c r="L119" s="9"/>
      <c r="M119" s="9"/>
      <c r="N119" s="9"/>
      <c r="O119" s="19"/>
      <c r="P119" s="10"/>
    </row>
    <row r="120" spans="1:16">
      <c r="A120" s="7">
        <f t="shared" si="1"/>
        <v>42266</v>
      </c>
      <c r="B120" s="27"/>
      <c r="C120" s="8"/>
      <c r="D120" s="9"/>
      <c r="E120" s="8"/>
      <c r="F120" s="8"/>
      <c r="G120" s="8"/>
      <c r="H120" s="32"/>
      <c r="I120" s="9"/>
      <c r="J120" s="9"/>
      <c r="K120" s="8"/>
      <c r="L120" s="9"/>
      <c r="M120" s="9"/>
      <c r="N120" s="9"/>
      <c r="O120" s="19"/>
      <c r="P120" s="10"/>
    </row>
    <row r="121" spans="1:16">
      <c r="A121" s="7">
        <f t="shared" si="1"/>
        <v>42267</v>
      </c>
      <c r="B121" s="27"/>
      <c r="C121" s="8"/>
      <c r="D121" s="9"/>
      <c r="E121" s="8"/>
      <c r="F121" s="8"/>
      <c r="G121" s="8"/>
      <c r="H121" s="32"/>
      <c r="I121" s="9"/>
      <c r="J121" s="9"/>
      <c r="K121" s="8"/>
      <c r="L121" s="9"/>
      <c r="M121" s="9"/>
      <c r="N121" s="9"/>
      <c r="O121" s="19"/>
      <c r="P121" s="10"/>
    </row>
    <row r="122" spans="1:16">
      <c r="A122" s="7">
        <f t="shared" si="1"/>
        <v>42268</v>
      </c>
      <c r="B122" s="27"/>
      <c r="C122" s="27"/>
      <c r="D122" s="21"/>
      <c r="E122" s="27"/>
      <c r="F122" s="29">
        <f>IFERROR(IF(INPUTS!B123="Male", 86.01*LOG(C122-D122)-70.041*LOG(INPUTS!B$7)+30.3, 163.205*LOG('BULKING TRACKER'!C122+'BULKING TRACKER'!E122-'BULKING TRACKER'!D122)-97.684*LOG(INPUTS!B$7)-104.912),0)</f>
        <v>0</v>
      </c>
      <c r="G122" s="11" t="str">
        <f>IF(B122&gt;0, AVERAGE(B116:B122), " ")</f>
        <v xml:space="preserve"> </v>
      </c>
      <c r="H122" s="30">
        <f>IFERROR(IF(B122&gt;0, (G115-G122)/G115,0.007), 0)</f>
        <v>7.0000000000000001E-3</v>
      </c>
      <c r="I122" s="13" t="str">
        <f>IF(H122&lt;0, "Cut 200kcal", "")</f>
        <v/>
      </c>
      <c r="J122" s="13" t="str">
        <f>IF(AND(H122&lt;0.005, H122&gt;=0), "Cut 100kcal", "")</f>
        <v/>
      </c>
      <c r="K122" s="13" t="str">
        <f>IF(AND(H122&lt;0.006, H122&gt;=0.005), "Cut 50kcal", "")</f>
        <v/>
      </c>
      <c r="L122" s="13" t="str">
        <f>IF(AND(H122&lt;0.008, H122&gt;=0.006), "Remain Constant", "")</f>
        <v>Remain Constant</v>
      </c>
      <c r="M122" s="13" t="str">
        <f>IF(AND(H122&gt;=0.008,H122&lt;0.01), "Add 50kcal", "")</f>
        <v/>
      </c>
      <c r="N122" s="13" t="str">
        <f>IF(H122&gt;=0.01, "Add 100kcal", "")</f>
        <v/>
      </c>
      <c r="O122" s="20"/>
      <c r="P122" s="5" t="str">
        <f>IF(O122&gt;0,P115+O122,"")</f>
        <v/>
      </c>
    </row>
    <row r="123" spans="1:16">
      <c r="A123" s="7">
        <f t="shared" si="1"/>
        <v>42269</v>
      </c>
      <c r="B123" s="27"/>
      <c r="C123" s="8"/>
      <c r="D123" s="9"/>
      <c r="E123" s="8"/>
      <c r="F123" s="8"/>
      <c r="G123" s="8"/>
      <c r="H123" s="32"/>
      <c r="I123" s="9"/>
      <c r="J123" s="9"/>
      <c r="K123" s="8"/>
      <c r="L123" s="9"/>
      <c r="M123" s="9"/>
      <c r="N123" s="9"/>
      <c r="O123" s="19"/>
      <c r="P123" s="10"/>
    </row>
    <row r="124" spans="1:16">
      <c r="A124" s="7">
        <f t="shared" si="1"/>
        <v>42270</v>
      </c>
      <c r="B124" s="27"/>
      <c r="C124" s="8"/>
      <c r="D124" s="9"/>
      <c r="E124" s="8"/>
      <c r="F124" s="8"/>
      <c r="G124" s="8"/>
      <c r="H124" s="32"/>
      <c r="I124" s="9"/>
      <c r="J124" s="9"/>
      <c r="K124" s="8"/>
      <c r="L124" s="9"/>
      <c r="M124" s="9"/>
      <c r="N124" s="9"/>
      <c r="O124" s="19"/>
      <c r="P124" s="10"/>
    </row>
    <row r="125" spans="1:16">
      <c r="A125" s="7">
        <f t="shared" si="1"/>
        <v>42271</v>
      </c>
      <c r="B125" s="27"/>
      <c r="C125" s="8"/>
      <c r="D125" s="9"/>
      <c r="E125" s="8"/>
      <c r="F125" s="8"/>
      <c r="G125" s="8"/>
      <c r="H125" s="32"/>
      <c r="I125" s="9"/>
      <c r="J125" s="9"/>
      <c r="K125" s="8"/>
      <c r="L125" s="9"/>
      <c r="M125" s="9"/>
      <c r="N125" s="9"/>
      <c r="O125" s="19"/>
      <c r="P125" s="10"/>
    </row>
    <row r="126" spans="1:16">
      <c r="A126" s="7">
        <f t="shared" si="1"/>
        <v>42272</v>
      </c>
      <c r="B126" s="27"/>
      <c r="C126" s="8"/>
      <c r="D126" s="9"/>
      <c r="E126" s="8"/>
      <c r="F126" s="8"/>
      <c r="G126" s="8"/>
      <c r="H126" s="32"/>
      <c r="I126" s="9"/>
      <c r="J126" s="9"/>
      <c r="K126" s="8"/>
      <c r="L126" s="9"/>
      <c r="M126" s="9"/>
      <c r="N126" s="9"/>
      <c r="O126" s="19"/>
      <c r="P126" s="10"/>
    </row>
    <row r="127" spans="1:16">
      <c r="A127" s="7">
        <f t="shared" si="1"/>
        <v>42273</v>
      </c>
      <c r="B127" s="27"/>
      <c r="C127" s="8"/>
      <c r="D127" s="9"/>
      <c r="E127" s="8"/>
      <c r="F127" s="8"/>
      <c r="G127" s="8"/>
      <c r="H127" s="32"/>
      <c r="I127" s="9"/>
      <c r="J127" s="9"/>
      <c r="K127" s="8"/>
      <c r="L127" s="9"/>
      <c r="M127" s="9"/>
      <c r="N127" s="9"/>
      <c r="O127" s="19"/>
      <c r="P127" s="10"/>
    </row>
    <row r="128" spans="1:16">
      <c r="A128" s="7">
        <f t="shared" si="1"/>
        <v>42274</v>
      </c>
      <c r="B128" s="27"/>
      <c r="C128" s="8"/>
      <c r="D128" s="9"/>
      <c r="E128" s="8"/>
      <c r="F128" s="8"/>
      <c r="G128" s="8"/>
      <c r="H128" s="32"/>
      <c r="I128" s="9"/>
      <c r="J128" s="9"/>
      <c r="K128" s="8"/>
      <c r="L128" s="9"/>
      <c r="M128" s="9"/>
      <c r="N128" s="9"/>
      <c r="O128" s="19"/>
      <c r="P128" s="10"/>
    </row>
    <row r="129" spans="1:16">
      <c r="A129" s="7">
        <f t="shared" si="1"/>
        <v>42275</v>
      </c>
      <c r="B129" s="27"/>
      <c r="C129" s="27"/>
      <c r="D129" s="21"/>
      <c r="E129" s="27"/>
      <c r="F129" s="29">
        <f>IFERROR(IF(INPUTS!B130="Male", 86.01*LOG(C129-D129)-70.041*LOG(INPUTS!B$7)+30.3, 163.205*LOG('BULKING TRACKER'!C129+'BULKING TRACKER'!E129-'BULKING TRACKER'!D129)-97.684*LOG(INPUTS!B$7)-104.912),0)</f>
        <v>0</v>
      </c>
      <c r="G129" s="11" t="str">
        <f>IF(B129&gt;0, AVERAGE(B123:B129), " ")</f>
        <v xml:space="preserve"> </v>
      </c>
      <c r="H129" s="30">
        <f>IFERROR(IF(B129&gt;0, (G122-G129)/G122,0.007), 0)</f>
        <v>7.0000000000000001E-3</v>
      </c>
      <c r="I129" s="13" t="str">
        <f>IF(H129&lt;0, "Cut 200kcal", "")</f>
        <v/>
      </c>
      <c r="J129" s="13" t="str">
        <f>IF(AND(H129&lt;0.005, H129&gt;=0), "Cut 100kcal", "")</f>
        <v/>
      </c>
      <c r="K129" s="13" t="str">
        <f>IF(AND(H129&lt;0.006, H129&gt;=0.005), "Cut 50kcal", "")</f>
        <v/>
      </c>
      <c r="L129" s="13" t="str">
        <f>IF(AND(H129&lt;0.008, H129&gt;=0.006), "Remain Constant", "")</f>
        <v>Remain Constant</v>
      </c>
      <c r="M129" s="13" t="str">
        <f>IF(AND(H129&gt;=0.008,H129&lt;0.01), "Add 50kcal", "")</f>
        <v/>
      </c>
      <c r="N129" s="13" t="str">
        <f>IF(H129&gt;=0.01, "Add 100kcal", "")</f>
        <v/>
      </c>
      <c r="O129" s="20"/>
      <c r="P129" s="5" t="str">
        <f>IF(O129&gt;0,P122+O129,"")</f>
        <v/>
      </c>
    </row>
    <row r="130" spans="1:16">
      <c r="A130" s="7">
        <f t="shared" si="1"/>
        <v>42276</v>
      </c>
      <c r="B130" s="27"/>
      <c r="C130" s="8"/>
      <c r="D130" s="9"/>
      <c r="E130" s="8"/>
      <c r="F130" s="8"/>
      <c r="G130" s="8"/>
      <c r="H130" s="32"/>
      <c r="I130" s="9"/>
      <c r="J130" s="9"/>
      <c r="K130" s="8"/>
      <c r="L130" s="9"/>
      <c r="M130" s="9"/>
      <c r="N130" s="9"/>
      <c r="O130" s="19"/>
      <c r="P130" s="10"/>
    </row>
    <row r="131" spans="1:16">
      <c r="A131" s="7">
        <f t="shared" si="1"/>
        <v>42277</v>
      </c>
      <c r="B131" s="27"/>
      <c r="C131" s="8"/>
      <c r="D131" s="9"/>
      <c r="E131" s="8"/>
      <c r="F131" s="8"/>
      <c r="G131" s="8"/>
      <c r="H131" s="32"/>
      <c r="I131" s="9"/>
      <c r="J131" s="9"/>
      <c r="K131" s="8"/>
      <c r="L131" s="9"/>
      <c r="M131" s="9"/>
      <c r="N131" s="9"/>
      <c r="O131" s="19"/>
      <c r="P131" s="10"/>
    </row>
    <row r="132" spans="1:16">
      <c r="A132" s="7">
        <f t="shared" si="1"/>
        <v>42278</v>
      </c>
      <c r="B132" s="27"/>
      <c r="C132" s="8"/>
      <c r="D132" s="9"/>
      <c r="E132" s="8"/>
      <c r="F132" s="8"/>
      <c r="G132" s="8"/>
      <c r="H132" s="32"/>
      <c r="I132" s="9"/>
      <c r="J132" s="9"/>
      <c r="K132" s="8"/>
      <c r="L132" s="9"/>
      <c r="M132" s="9"/>
      <c r="N132" s="9"/>
      <c r="O132" s="19"/>
      <c r="P132" s="10"/>
    </row>
    <row r="133" spans="1:16">
      <c r="A133" s="7">
        <f t="shared" ref="A133:A196" si="2">A132+1</f>
        <v>42279</v>
      </c>
      <c r="B133" s="27"/>
      <c r="C133" s="8"/>
      <c r="D133" s="9"/>
      <c r="E133" s="8"/>
      <c r="F133" s="8"/>
      <c r="G133" s="8"/>
      <c r="H133" s="32"/>
      <c r="I133" s="9"/>
      <c r="J133" s="9"/>
      <c r="K133" s="8"/>
      <c r="L133" s="9"/>
      <c r="M133" s="9"/>
      <c r="N133" s="9"/>
      <c r="O133" s="19"/>
      <c r="P133" s="10"/>
    </row>
    <row r="134" spans="1:16">
      <c r="A134" s="7">
        <f t="shared" si="2"/>
        <v>42280</v>
      </c>
      <c r="B134" s="27"/>
      <c r="C134" s="8"/>
      <c r="D134" s="9"/>
      <c r="E134" s="8"/>
      <c r="F134" s="8"/>
      <c r="G134" s="8"/>
      <c r="H134" s="32"/>
      <c r="I134" s="9"/>
      <c r="J134" s="9"/>
      <c r="K134" s="8"/>
      <c r="L134" s="9"/>
      <c r="M134" s="9"/>
      <c r="N134" s="9"/>
      <c r="O134" s="19"/>
      <c r="P134" s="10"/>
    </row>
    <row r="135" spans="1:16">
      <c r="A135" s="7">
        <f t="shared" si="2"/>
        <v>42281</v>
      </c>
      <c r="B135" s="27"/>
      <c r="C135" s="8"/>
      <c r="D135" s="9"/>
      <c r="E135" s="8"/>
      <c r="F135" s="8"/>
      <c r="G135" s="8"/>
      <c r="H135" s="32"/>
      <c r="I135" s="9"/>
      <c r="J135" s="9"/>
      <c r="K135" s="8"/>
      <c r="L135" s="9"/>
      <c r="M135" s="9"/>
      <c r="N135" s="9"/>
      <c r="O135" s="19"/>
      <c r="P135" s="10"/>
    </row>
    <row r="136" spans="1:16">
      <c r="A136" s="7">
        <f t="shared" si="2"/>
        <v>42282</v>
      </c>
      <c r="B136" s="27"/>
      <c r="C136" s="27"/>
      <c r="D136" s="21"/>
      <c r="E136" s="27"/>
      <c r="F136" s="29">
        <f>IFERROR(IF(INPUTS!B137="Male", 86.01*LOG(C136-D136)-70.041*LOG(INPUTS!B$7)+30.3, 163.205*LOG('BULKING TRACKER'!C136+'BULKING TRACKER'!E136-'BULKING TRACKER'!D136)-97.684*LOG(INPUTS!B$7)-104.912),0)</f>
        <v>0</v>
      </c>
      <c r="G136" s="11" t="str">
        <f>IF(B136&gt;0, AVERAGE(B130:B136), " ")</f>
        <v xml:space="preserve"> </v>
      </c>
      <c r="H136" s="30">
        <f>IFERROR(IF(B136&gt;0, (G129-G136)/G129,0.007), 0)</f>
        <v>7.0000000000000001E-3</v>
      </c>
      <c r="I136" s="13" t="str">
        <f>IF(H136&lt;0, "Cut 200kcal", "")</f>
        <v/>
      </c>
      <c r="J136" s="13" t="str">
        <f>IF(AND(H136&lt;0.005, H136&gt;=0), "Cut 100kcal", "")</f>
        <v/>
      </c>
      <c r="K136" s="13" t="str">
        <f>IF(AND(H136&lt;0.006, H136&gt;=0.005), "Cut 50kcal", "")</f>
        <v/>
      </c>
      <c r="L136" s="13" t="str">
        <f>IF(AND(H136&lt;0.008, H136&gt;=0.006), "Remain Constant", "")</f>
        <v>Remain Constant</v>
      </c>
      <c r="M136" s="13" t="str">
        <f>IF(AND(H136&gt;=0.008,H136&lt;0.01), "Add 50kcal", "")</f>
        <v/>
      </c>
      <c r="N136" s="13" t="str">
        <f>IF(H136&gt;=0.01, "Add 100kcal", "")</f>
        <v/>
      </c>
      <c r="O136" s="20"/>
      <c r="P136" s="5" t="str">
        <f>IF(O136&gt;0,P129+O136,"")</f>
        <v/>
      </c>
    </row>
    <row r="137" spans="1:16">
      <c r="A137" s="7">
        <f t="shared" si="2"/>
        <v>42283</v>
      </c>
      <c r="B137" s="27"/>
      <c r="C137" s="8"/>
      <c r="D137" s="9"/>
      <c r="E137" s="8"/>
      <c r="F137" s="8"/>
      <c r="G137" s="8"/>
      <c r="H137" s="32"/>
      <c r="I137" s="9"/>
      <c r="J137" s="9"/>
      <c r="K137" s="8"/>
      <c r="L137" s="9"/>
      <c r="M137" s="9"/>
      <c r="N137" s="9"/>
      <c r="O137" s="19"/>
      <c r="P137" s="10"/>
    </row>
    <row r="138" spans="1:16">
      <c r="A138" s="7">
        <f t="shared" si="2"/>
        <v>42284</v>
      </c>
      <c r="B138" s="27"/>
      <c r="C138" s="8"/>
      <c r="D138" s="9"/>
      <c r="E138" s="8"/>
      <c r="F138" s="8"/>
      <c r="G138" s="8"/>
      <c r="H138" s="32"/>
      <c r="I138" s="9"/>
      <c r="J138" s="9"/>
      <c r="K138" s="8"/>
      <c r="L138" s="9"/>
      <c r="M138" s="9"/>
      <c r="N138" s="9"/>
      <c r="O138" s="19"/>
      <c r="P138" s="10"/>
    </row>
    <row r="139" spans="1:16">
      <c r="A139" s="7">
        <f t="shared" si="2"/>
        <v>42285</v>
      </c>
      <c r="B139" s="27"/>
      <c r="C139" s="8"/>
      <c r="D139" s="9"/>
      <c r="E139" s="8"/>
      <c r="F139" s="8"/>
      <c r="G139" s="8"/>
      <c r="H139" s="32"/>
      <c r="I139" s="9"/>
      <c r="J139" s="9"/>
      <c r="K139" s="8"/>
      <c r="L139" s="9"/>
      <c r="M139" s="9"/>
      <c r="N139" s="9"/>
      <c r="O139" s="19"/>
      <c r="P139" s="10"/>
    </row>
    <row r="140" spans="1:16">
      <c r="A140" s="7">
        <f t="shared" si="2"/>
        <v>42286</v>
      </c>
      <c r="B140" s="27"/>
      <c r="C140" s="8"/>
      <c r="D140" s="9"/>
      <c r="E140" s="8"/>
      <c r="F140" s="8"/>
      <c r="G140" s="8"/>
      <c r="H140" s="32"/>
      <c r="I140" s="9"/>
      <c r="J140" s="9"/>
      <c r="K140" s="8"/>
      <c r="L140" s="9"/>
      <c r="M140" s="9"/>
      <c r="N140" s="9"/>
      <c r="O140" s="19"/>
      <c r="P140" s="10"/>
    </row>
    <row r="141" spans="1:16">
      <c r="A141" s="7">
        <f t="shared" si="2"/>
        <v>42287</v>
      </c>
      <c r="B141" s="27"/>
      <c r="C141" s="8"/>
      <c r="D141" s="9"/>
      <c r="E141" s="8"/>
      <c r="F141" s="8"/>
      <c r="G141" s="8"/>
      <c r="H141" s="32"/>
      <c r="I141" s="9"/>
      <c r="J141" s="9"/>
      <c r="K141" s="8"/>
      <c r="L141" s="9"/>
      <c r="M141" s="9"/>
      <c r="N141" s="9"/>
      <c r="O141" s="19"/>
      <c r="P141" s="10"/>
    </row>
    <row r="142" spans="1:16">
      <c r="A142" s="7">
        <f t="shared" si="2"/>
        <v>42288</v>
      </c>
      <c r="B142" s="27"/>
      <c r="C142" s="8"/>
      <c r="D142" s="9"/>
      <c r="E142" s="8"/>
      <c r="F142" s="8"/>
      <c r="G142" s="8"/>
      <c r="H142" s="32"/>
      <c r="I142" s="9"/>
      <c r="J142" s="9"/>
      <c r="K142" s="8"/>
      <c r="L142" s="9"/>
      <c r="M142" s="9"/>
      <c r="N142" s="9"/>
      <c r="O142" s="19"/>
      <c r="P142" s="10"/>
    </row>
    <row r="143" spans="1:16">
      <c r="A143" s="7">
        <f t="shared" si="2"/>
        <v>42289</v>
      </c>
      <c r="B143" s="27"/>
      <c r="C143" s="27"/>
      <c r="D143" s="21"/>
      <c r="E143" s="27"/>
      <c r="F143" s="29">
        <f>IFERROR(IF(INPUTS!B144="Male", 86.01*LOG(C143-D143)-70.041*LOG(INPUTS!B$7)+30.3, 163.205*LOG('BULKING TRACKER'!C143+'BULKING TRACKER'!E143-'BULKING TRACKER'!D143)-97.684*LOG(INPUTS!B$7)-104.912),0)</f>
        <v>0</v>
      </c>
      <c r="G143" s="11" t="str">
        <f>IF(B143&gt;0, AVERAGE(B137:B143), " ")</f>
        <v xml:space="preserve"> </v>
      </c>
      <c r="H143" s="30">
        <f>IFERROR(IF(B143&gt;0, (G136-G143)/G136,0.007), 0)</f>
        <v>7.0000000000000001E-3</v>
      </c>
      <c r="I143" s="13" t="str">
        <f>IF(H143&lt;0, "Cut 200kcal", "")</f>
        <v/>
      </c>
      <c r="J143" s="13" t="str">
        <f>IF(AND(H143&lt;0.005, H143&gt;=0), "Cut 100kcal", "")</f>
        <v/>
      </c>
      <c r="K143" s="13" t="str">
        <f>IF(AND(H143&lt;0.006, H143&gt;=0.005), "Cut 50kcal", "")</f>
        <v/>
      </c>
      <c r="L143" s="13" t="str">
        <f>IF(AND(H143&lt;0.008, H143&gt;=0.006), "Remain Constant", "")</f>
        <v>Remain Constant</v>
      </c>
      <c r="M143" s="13" t="str">
        <f>IF(AND(H143&gt;=0.008,H143&lt;0.01), "Add 50kcal", "")</f>
        <v/>
      </c>
      <c r="N143" s="13" t="str">
        <f>IF(H143&gt;=0.01, "Add 100kcal", "")</f>
        <v/>
      </c>
      <c r="O143" s="20"/>
      <c r="P143" s="5" t="str">
        <f>IF(O143&gt;0,P136+O143,"")</f>
        <v/>
      </c>
    </row>
    <row r="144" spans="1:16">
      <c r="A144" s="7">
        <f t="shared" si="2"/>
        <v>42290</v>
      </c>
      <c r="B144" s="27"/>
      <c r="C144" s="8"/>
      <c r="D144" s="9"/>
      <c r="E144" s="8"/>
      <c r="F144" s="8"/>
      <c r="G144" s="8"/>
      <c r="H144" s="32"/>
      <c r="I144" s="9"/>
      <c r="J144" s="9"/>
      <c r="K144" s="8"/>
      <c r="L144" s="9"/>
      <c r="M144" s="9"/>
      <c r="N144" s="9"/>
      <c r="O144" s="19"/>
      <c r="P144" s="10"/>
    </row>
    <row r="145" spans="1:16">
      <c r="A145" s="7">
        <f t="shared" si="2"/>
        <v>42291</v>
      </c>
      <c r="B145" s="27"/>
      <c r="C145" s="8"/>
      <c r="D145" s="9"/>
      <c r="E145" s="8"/>
      <c r="F145" s="8"/>
      <c r="G145" s="8"/>
      <c r="H145" s="32"/>
      <c r="I145" s="9"/>
      <c r="J145" s="9"/>
      <c r="K145" s="8"/>
      <c r="L145" s="9"/>
      <c r="M145" s="9"/>
      <c r="N145" s="9"/>
      <c r="O145" s="19"/>
      <c r="P145" s="10"/>
    </row>
    <row r="146" spans="1:16">
      <c r="A146" s="7">
        <f t="shared" si="2"/>
        <v>42292</v>
      </c>
      <c r="B146" s="27"/>
      <c r="C146" s="8"/>
      <c r="D146" s="9"/>
      <c r="E146" s="8"/>
      <c r="F146" s="8"/>
      <c r="G146" s="8"/>
      <c r="H146" s="32"/>
      <c r="I146" s="9"/>
      <c r="J146" s="9"/>
      <c r="K146" s="8"/>
      <c r="L146" s="9"/>
      <c r="M146" s="9"/>
      <c r="N146" s="9"/>
      <c r="O146" s="19"/>
      <c r="P146" s="10"/>
    </row>
    <row r="147" spans="1:16">
      <c r="A147" s="7">
        <f t="shared" si="2"/>
        <v>42293</v>
      </c>
      <c r="B147" s="27"/>
      <c r="C147" s="8"/>
      <c r="D147" s="9"/>
      <c r="E147" s="8"/>
      <c r="F147" s="8"/>
      <c r="G147" s="8"/>
      <c r="H147" s="32"/>
      <c r="I147" s="9"/>
      <c r="J147" s="9"/>
      <c r="K147" s="8"/>
      <c r="L147" s="9"/>
      <c r="M147" s="9"/>
      <c r="N147" s="9"/>
      <c r="O147" s="19"/>
      <c r="P147" s="10"/>
    </row>
    <row r="148" spans="1:16">
      <c r="A148" s="7">
        <f t="shared" si="2"/>
        <v>42294</v>
      </c>
      <c r="B148" s="27"/>
      <c r="C148" s="8"/>
      <c r="D148" s="9"/>
      <c r="E148" s="8"/>
      <c r="F148" s="8"/>
      <c r="G148" s="8"/>
      <c r="H148" s="32"/>
      <c r="I148" s="9"/>
      <c r="J148" s="9"/>
      <c r="K148" s="8"/>
      <c r="L148" s="9"/>
      <c r="M148" s="9"/>
      <c r="N148" s="9"/>
      <c r="O148" s="19"/>
      <c r="P148" s="10"/>
    </row>
    <row r="149" spans="1:16">
      <c r="A149" s="7">
        <f t="shared" si="2"/>
        <v>42295</v>
      </c>
      <c r="B149" s="27"/>
      <c r="C149" s="8"/>
      <c r="D149" s="9"/>
      <c r="E149" s="8"/>
      <c r="F149" s="8"/>
      <c r="G149" s="8"/>
      <c r="H149" s="32"/>
      <c r="I149" s="9"/>
      <c r="J149" s="9"/>
      <c r="K149" s="8"/>
      <c r="L149" s="9"/>
      <c r="M149" s="9"/>
      <c r="N149" s="9"/>
      <c r="O149" s="19"/>
      <c r="P149" s="10"/>
    </row>
    <row r="150" spans="1:16">
      <c r="A150" s="7">
        <f t="shared" si="2"/>
        <v>42296</v>
      </c>
      <c r="B150" s="27"/>
      <c r="C150" s="27"/>
      <c r="D150" s="21"/>
      <c r="E150" s="27"/>
      <c r="F150" s="29">
        <f>IFERROR(IF(INPUTS!B151="Male", 86.01*LOG(C150-D150)-70.041*LOG(INPUTS!B$7)+30.3, 163.205*LOG('BULKING TRACKER'!C150+'BULKING TRACKER'!E150-'BULKING TRACKER'!D150)-97.684*LOG(INPUTS!B$7)-104.912),0)</f>
        <v>0</v>
      </c>
      <c r="G150" s="11" t="str">
        <f>IF(B150&gt;0, AVERAGE(B144:B150), " ")</f>
        <v xml:space="preserve"> </v>
      </c>
      <c r="H150" s="30">
        <f>IFERROR(IF(B150&gt;0, (G143-G150)/G143,0.007), 0)</f>
        <v>7.0000000000000001E-3</v>
      </c>
      <c r="I150" s="13" t="str">
        <f>IF(H150&lt;0, "Cut 200kcal", "")</f>
        <v/>
      </c>
      <c r="J150" s="13" t="str">
        <f>IF(AND(H150&lt;0.005, H150&gt;=0), "Cut 100kcal", "")</f>
        <v/>
      </c>
      <c r="K150" s="13" t="str">
        <f>IF(AND(H150&lt;0.006, H150&gt;=0.005), "Cut 50kcal", "")</f>
        <v/>
      </c>
      <c r="L150" s="13" t="str">
        <f>IF(AND(H150&lt;0.008, H150&gt;=0.006), "Remain Constant", "")</f>
        <v>Remain Constant</v>
      </c>
      <c r="M150" s="13" t="str">
        <f>IF(AND(H150&gt;=0.008,H150&lt;0.01), "Add 50kcal", "")</f>
        <v/>
      </c>
      <c r="N150" s="13" t="str">
        <f>IF(H150&gt;=0.01, "Add 100kcal", "")</f>
        <v/>
      </c>
      <c r="O150" s="20"/>
      <c r="P150" s="5" t="str">
        <f>IF(O150&gt;0,P143+O150,"")</f>
        <v/>
      </c>
    </row>
    <row r="151" spans="1:16">
      <c r="A151" s="7">
        <f t="shared" si="2"/>
        <v>42297</v>
      </c>
      <c r="B151" s="27"/>
      <c r="C151" s="8"/>
      <c r="D151" s="9"/>
      <c r="E151" s="8"/>
      <c r="F151" s="8"/>
      <c r="G151" s="8"/>
      <c r="H151" s="32"/>
      <c r="I151" s="9"/>
      <c r="J151" s="9"/>
      <c r="K151" s="8"/>
      <c r="L151" s="9"/>
      <c r="M151" s="9"/>
      <c r="N151" s="9"/>
      <c r="O151" s="19"/>
      <c r="P151" s="10"/>
    </row>
    <row r="152" spans="1:16">
      <c r="A152" s="7">
        <f t="shared" si="2"/>
        <v>42298</v>
      </c>
      <c r="B152" s="27"/>
      <c r="C152" s="8"/>
      <c r="D152" s="9"/>
      <c r="E152" s="8"/>
      <c r="F152" s="8"/>
      <c r="G152" s="8"/>
      <c r="H152" s="32"/>
      <c r="I152" s="9"/>
      <c r="J152" s="9"/>
      <c r="K152" s="8"/>
      <c r="L152" s="9"/>
      <c r="M152" s="9"/>
      <c r="N152" s="9"/>
      <c r="O152" s="19"/>
      <c r="P152" s="10"/>
    </row>
    <row r="153" spans="1:16">
      <c r="A153" s="7">
        <f t="shared" si="2"/>
        <v>42299</v>
      </c>
      <c r="B153" s="27"/>
      <c r="C153" s="8"/>
      <c r="D153" s="9"/>
      <c r="E153" s="8"/>
      <c r="F153" s="8"/>
      <c r="G153" s="8"/>
      <c r="H153" s="32"/>
      <c r="I153" s="9"/>
      <c r="J153" s="9"/>
      <c r="K153" s="8"/>
      <c r="L153" s="9"/>
      <c r="M153" s="9"/>
      <c r="N153" s="9"/>
      <c r="O153" s="19"/>
      <c r="P153" s="10"/>
    </row>
    <row r="154" spans="1:16">
      <c r="A154" s="7">
        <f t="shared" si="2"/>
        <v>42300</v>
      </c>
      <c r="B154" s="27"/>
      <c r="C154" s="8"/>
      <c r="D154" s="9"/>
      <c r="E154" s="8"/>
      <c r="F154" s="8"/>
      <c r="G154" s="8"/>
      <c r="H154" s="32"/>
      <c r="I154" s="9"/>
      <c r="J154" s="9"/>
      <c r="K154" s="8"/>
      <c r="L154" s="9"/>
      <c r="M154" s="9"/>
      <c r="N154" s="9"/>
      <c r="O154" s="19"/>
      <c r="P154" s="10"/>
    </row>
    <row r="155" spans="1:16">
      <c r="A155" s="7">
        <f t="shared" si="2"/>
        <v>42301</v>
      </c>
      <c r="B155" s="27"/>
      <c r="C155" s="8"/>
      <c r="D155" s="9"/>
      <c r="E155" s="8"/>
      <c r="F155" s="8"/>
      <c r="G155" s="8"/>
      <c r="H155" s="32"/>
      <c r="I155" s="9"/>
      <c r="J155" s="9"/>
      <c r="K155" s="8"/>
      <c r="L155" s="9"/>
      <c r="M155" s="9"/>
      <c r="N155" s="9"/>
      <c r="O155" s="19"/>
      <c r="P155" s="10"/>
    </row>
    <row r="156" spans="1:16">
      <c r="A156" s="7">
        <f t="shared" si="2"/>
        <v>42302</v>
      </c>
      <c r="B156" s="27"/>
      <c r="C156" s="8"/>
      <c r="D156" s="9"/>
      <c r="E156" s="8"/>
      <c r="F156" s="8"/>
      <c r="G156" s="8"/>
      <c r="H156" s="32"/>
      <c r="I156" s="9"/>
      <c r="J156" s="9"/>
      <c r="K156" s="8"/>
      <c r="L156" s="9"/>
      <c r="M156" s="9"/>
      <c r="N156" s="9"/>
      <c r="O156" s="19"/>
      <c r="P156" s="10"/>
    </row>
    <row r="157" spans="1:16">
      <c r="A157" s="7">
        <f t="shared" si="2"/>
        <v>42303</v>
      </c>
      <c r="B157" s="27"/>
      <c r="C157" s="27"/>
      <c r="D157" s="21"/>
      <c r="E157" s="27"/>
      <c r="F157" s="29">
        <f>IFERROR(IF(INPUTS!B158="Male", 86.01*LOG(C157-D157)-70.041*LOG(INPUTS!B$7)+30.3, 163.205*LOG('BULKING TRACKER'!C157+'BULKING TRACKER'!E157-'BULKING TRACKER'!D157)-97.684*LOG(INPUTS!B$7)-104.912),0)</f>
        <v>0</v>
      </c>
      <c r="G157" s="11" t="str">
        <f>IF(B157&gt;0, AVERAGE(B151:B157), " ")</f>
        <v xml:space="preserve"> </v>
      </c>
      <c r="H157" s="30">
        <f>IFERROR(IF(B157&gt;0, (G150-G157)/G150,0.007), 0)</f>
        <v>7.0000000000000001E-3</v>
      </c>
      <c r="I157" s="13" t="str">
        <f>IF(H157&lt;0, "Cut 200kcal", "")</f>
        <v/>
      </c>
      <c r="J157" s="13" t="str">
        <f>IF(AND(H157&lt;0.005, H157&gt;=0), "Cut 100kcal", "")</f>
        <v/>
      </c>
      <c r="K157" s="13" t="str">
        <f>IF(AND(H157&lt;0.006, H157&gt;=0.005), "Cut 50kcal", "")</f>
        <v/>
      </c>
      <c r="L157" s="13" t="str">
        <f>IF(AND(H157&lt;0.008, H157&gt;=0.006), "Remain Constant", "")</f>
        <v>Remain Constant</v>
      </c>
      <c r="M157" s="13" t="str">
        <f>IF(AND(H157&gt;=0.008,H157&lt;0.01), "Add 50kcal", "")</f>
        <v/>
      </c>
      <c r="N157" s="13" t="str">
        <f>IF(H157&gt;=0.01, "Add 100kcal", "")</f>
        <v/>
      </c>
      <c r="O157" s="20"/>
      <c r="P157" s="5" t="str">
        <f>IF(O157&gt;0,P150+O157,"")</f>
        <v/>
      </c>
    </row>
    <row r="158" spans="1:16">
      <c r="A158" s="7">
        <f t="shared" si="2"/>
        <v>42304</v>
      </c>
      <c r="B158" s="27"/>
      <c r="C158" s="8"/>
      <c r="D158" s="9"/>
      <c r="E158" s="8"/>
      <c r="F158" s="8"/>
      <c r="G158" s="8"/>
      <c r="H158" s="32"/>
      <c r="I158" s="9"/>
      <c r="J158" s="9"/>
      <c r="K158" s="8"/>
      <c r="L158" s="9"/>
      <c r="M158" s="9"/>
      <c r="N158" s="9"/>
      <c r="O158" s="19"/>
      <c r="P158" s="10"/>
    </row>
    <row r="159" spans="1:16">
      <c r="A159" s="7">
        <f t="shared" si="2"/>
        <v>42305</v>
      </c>
      <c r="B159" s="27"/>
      <c r="C159" s="8"/>
      <c r="D159" s="9"/>
      <c r="E159" s="8"/>
      <c r="F159" s="8"/>
      <c r="G159" s="8"/>
      <c r="H159" s="32"/>
      <c r="I159" s="9"/>
      <c r="J159" s="9"/>
      <c r="K159" s="8"/>
      <c r="L159" s="9"/>
      <c r="M159" s="9"/>
      <c r="N159" s="9"/>
      <c r="O159" s="19"/>
      <c r="P159" s="10"/>
    </row>
    <row r="160" spans="1:16">
      <c r="A160" s="7">
        <f t="shared" si="2"/>
        <v>42306</v>
      </c>
      <c r="B160" s="27"/>
      <c r="C160" s="8"/>
      <c r="D160" s="9"/>
      <c r="E160" s="8"/>
      <c r="F160" s="8"/>
      <c r="G160" s="8"/>
      <c r="H160" s="32"/>
      <c r="I160" s="9"/>
      <c r="J160" s="9"/>
      <c r="K160" s="8"/>
      <c r="L160" s="9"/>
      <c r="M160" s="9"/>
      <c r="N160" s="9"/>
      <c r="O160" s="19"/>
      <c r="P160" s="10"/>
    </row>
    <row r="161" spans="1:16">
      <c r="A161" s="7">
        <f t="shared" si="2"/>
        <v>42307</v>
      </c>
      <c r="B161" s="27"/>
      <c r="C161" s="8"/>
      <c r="D161" s="9"/>
      <c r="E161" s="8"/>
      <c r="F161" s="8"/>
      <c r="G161" s="8"/>
      <c r="H161" s="32"/>
      <c r="I161" s="9"/>
      <c r="J161" s="9"/>
      <c r="K161" s="8"/>
      <c r="L161" s="9"/>
      <c r="M161" s="9"/>
      <c r="N161" s="9"/>
      <c r="O161" s="19"/>
      <c r="P161" s="10"/>
    </row>
    <row r="162" spans="1:16">
      <c r="A162" s="7">
        <f t="shared" si="2"/>
        <v>42308</v>
      </c>
      <c r="B162" s="27"/>
      <c r="C162" s="8"/>
      <c r="D162" s="9"/>
      <c r="E162" s="8"/>
      <c r="F162" s="8"/>
      <c r="G162" s="8"/>
      <c r="H162" s="32"/>
      <c r="I162" s="9"/>
      <c r="J162" s="9"/>
      <c r="K162" s="8"/>
      <c r="L162" s="9"/>
      <c r="M162" s="9"/>
      <c r="N162" s="9"/>
      <c r="O162" s="19"/>
      <c r="P162" s="10"/>
    </row>
    <row r="163" spans="1:16">
      <c r="A163" s="7">
        <f t="shared" si="2"/>
        <v>42309</v>
      </c>
      <c r="B163" s="27"/>
      <c r="C163" s="8"/>
      <c r="D163" s="9"/>
      <c r="E163" s="8"/>
      <c r="F163" s="8"/>
      <c r="G163" s="8"/>
      <c r="H163" s="32"/>
      <c r="I163" s="9"/>
      <c r="J163" s="9"/>
      <c r="K163" s="8"/>
      <c r="L163" s="9"/>
      <c r="M163" s="9"/>
      <c r="N163" s="9"/>
      <c r="O163" s="19"/>
      <c r="P163" s="10"/>
    </row>
    <row r="164" spans="1:16">
      <c r="A164" s="7">
        <f t="shared" si="2"/>
        <v>42310</v>
      </c>
      <c r="B164" s="27"/>
      <c r="C164" s="27"/>
      <c r="D164" s="21"/>
      <c r="E164" s="27"/>
      <c r="F164" s="29">
        <f>IFERROR(IF(INPUTS!B165="Male", 86.01*LOG(C164-D164)-70.041*LOG(INPUTS!B$7)+30.3, 163.205*LOG('BULKING TRACKER'!C164+'BULKING TRACKER'!E164-'BULKING TRACKER'!D164)-97.684*LOG(INPUTS!B$7)-104.912),0)</f>
        <v>0</v>
      </c>
      <c r="G164" s="11" t="str">
        <f>IF(B164&gt;0, AVERAGE(B158:B164), " ")</f>
        <v xml:space="preserve"> </v>
      </c>
      <c r="H164" s="30">
        <f>IFERROR(IF(B164&gt;0, (G157-G164)/G157,0.007), 0)</f>
        <v>7.0000000000000001E-3</v>
      </c>
      <c r="I164" s="13" t="str">
        <f>IF(H164&lt;0, "Cut 200kcal", "")</f>
        <v/>
      </c>
      <c r="J164" s="13" t="str">
        <f>IF(AND(H164&lt;0.005, H164&gt;=0), "Cut 100kcal", "")</f>
        <v/>
      </c>
      <c r="K164" s="13" t="str">
        <f>IF(AND(H164&lt;0.006, H164&gt;=0.005), "Cut 50kcal", "")</f>
        <v/>
      </c>
      <c r="L164" s="13" t="str">
        <f>IF(AND(H164&lt;0.008, H164&gt;=0.006), "Remain Constant", "")</f>
        <v>Remain Constant</v>
      </c>
      <c r="M164" s="13" t="str">
        <f>IF(AND(H164&gt;=0.008,H164&lt;0.01), "Add 50kcal", "")</f>
        <v/>
      </c>
      <c r="N164" s="13" t="str">
        <f>IF(H164&gt;=0.01, "Add 100kcal", "")</f>
        <v/>
      </c>
      <c r="O164" s="20"/>
      <c r="P164" s="5" t="str">
        <f>IF(O164&gt;0,P157+O164,"")</f>
        <v/>
      </c>
    </row>
    <row r="165" spans="1:16">
      <c r="A165" s="7">
        <f t="shared" si="2"/>
        <v>42311</v>
      </c>
      <c r="B165" s="27"/>
      <c r="C165" s="8"/>
      <c r="D165" s="9"/>
      <c r="E165" s="8"/>
      <c r="F165" s="8"/>
      <c r="G165" s="8"/>
      <c r="H165" s="32"/>
      <c r="I165" s="9"/>
      <c r="J165" s="9"/>
      <c r="K165" s="8"/>
      <c r="L165" s="9"/>
      <c r="M165" s="9"/>
      <c r="N165" s="9"/>
      <c r="O165" s="19"/>
      <c r="P165" s="10"/>
    </row>
    <row r="166" spans="1:16">
      <c r="A166" s="7">
        <f t="shared" si="2"/>
        <v>42312</v>
      </c>
      <c r="B166" s="27"/>
      <c r="C166" s="8"/>
      <c r="D166" s="9"/>
      <c r="E166" s="8"/>
      <c r="F166" s="8"/>
      <c r="G166" s="8"/>
      <c r="H166" s="32"/>
      <c r="I166" s="9"/>
      <c r="J166" s="9"/>
      <c r="K166" s="8"/>
      <c r="L166" s="9"/>
      <c r="M166" s="9"/>
      <c r="N166" s="9"/>
      <c r="O166" s="19"/>
      <c r="P166" s="10"/>
    </row>
    <row r="167" spans="1:16">
      <c r="A167" s="7">
        <f t="shared" si="2"/>
        <v>42313</v>
      </c>
      <c r="B167" s="27"/>
      <c r="C167" s="8"/>
      <c r="D167" s="9"/>
      <c r="E167" s="8"/>
      <c r="F167" s="8"/>
      <c r="G167" s="8"/>
      <c r="H167" s="32"/>
      <c r="I167" s="9"/>
      <c r="J167" s="9"/>
      <c r="K167" s="8"/>
      <c r="L167" s="9"/>
      <c r="M167" s="9"/>
      <c r="N167" s="9"/>
      <c r="O167" s="19"/>
      <c r="P167" s="10"/>
    </row>
    <row r="168" spans="1:16">
      <c r="A168" s="7">
        <f t="shared" si="2"/>
        <v>42314</v>
      </c>
      <c r="B168" s="27"/>
      <c r="C168" s="8"/>
      <c r="D168" s="9"/>
      <c r="E168" s="8"/>
      <c r="F168" s="8"/>
      <c r="G168" s="8"/>
      <c r="H168" s="32"/>
      <c r="I168" s="9"/>
      <c r="J168" s="9"/>
      <c r="K168" s="8"/>
      <c r="L168" s="9"/>
      <c r="M168" s="9"/>
      <c r="N168" s="9"/>
      <c r="O168" s="19"/>
      <c r="P168" s="10"/>
    </row>
    <row r="169" spans="1:16">
      <c r="A169" s="7">
        <f t="shared" si="2"/>
        <v>42315</v>
      </c>
      <c r="B169" s="27"/>
      <c r="C169" s="8"/>
      <c r="D169" s="9"/>
      <c r="E169" s="8"/>
      <c r="F169" s="8"/>
      <c r="G169" s="8"/>
      <c r="H169" s="32"/>
      <c r="I169" s="9"/>
      <c r="J169" s="9"/>
      <c r="K169" s="8"/>
      <c r="L169" s="9"/>
      <c r="M169" s="9"/>
      <c r="N169" s="9"/>
      <c r="O169" s="19"/>
      <c r="P169" s="10"/>
    </row>
    <row r="170" spans="1:16">
      <c r="A170" s="7">
        <f t="shared" si="2"/>
        <v>42316</v>
      </c>
      <c r="B170" s="27"/>
      <c r="C170" s="8"/>
      <c r="D170" s="9"/>
      <c r="E170" s="8"/>
      <c r="F170" s="8"/>
      <c r="G170" s="8"/>
      <c r="H170" s="32"/>
      <c r="I170" s="9"/>
      <c r="J170" s="9"/>
      <c r="K170" s="8"/>
      <c r="L170" s="9"/>
      <c r="M170" s="9"/>
      <c r="N170" s="9"/>
      <c r="O170" s="19"/>
      <c r="P170" s="10"/>
    </row>
    <row r="171" spans="1:16">
      <c r="A171" s="7">
        <f t="shared" si="2"/>
        <v>42317</v>
      </c>
      <c r="B171" s="27"/>
      <c r="C171" s="27"/>
      <c r="D171" s="21"/>
      <c r="E171" s="27"/>
      <c r="F171" s="29">
        <f>IFERROR(IF(INPUTS!B172="Male", 86.01*LOG(C171-D171)-70.041*LOG(INPUTS!B$7)+30.3, 163.205*LOG('BULKING TRACKER'!C171+'BULKING TRACKER'!E171-'BULKING TRACKER'!D171)-97.684*LOG(INPUTS!B$7)-104.912),0)</f>
        <v>0</v>
      </c>
      <c r="G171" s="11" t="str">
        <f>IF(B171&gt;0, AVERAGE(B165:B171), " ")</f>
        <v xml:space="preserve"> </v>
      </c>
      <c r="H171" s="30">
        <f>IFERROR(IF(B171&gt;0, (G164-G171)/G164,0.007), 0)</f>
        <v>7.0000000000000001E-3</v>
      </c>
      <c r="I171" s="13" t="str">
        <f>IF(H171&lt;0, "Cut 200kcal", "")</f>
        <v/>
      </c>
      <c r="J171" s="13" t="str">
        <f>IF(AND(H171&lt;0.005, H171&gt;=0), "Cut 100kcal", "")</f>
        <v/>
      </c>
      <c r="K171" s="13" t="str">
        <f>IF(AND(H171&lt;0.006, H171&gt;=0.005), "Cut 50kcal", "")</f>
        <v/>
      </c>
      <c r="L171" s="13" t="str">
        <f>IF(AND(H171&lt;0.008, H171&gt;=0.006), "Remain Constant", "")</f>
        <v>Remain Constant</v>
      </c>
      <c r="M171" s="13" t="str">
        <f>IF(AND(H171&gt;=0.008,H171&lt;0.01), "Add 50kcal", "")</f>
        <v/>
      </c>
      <c r="N171" s="13" t="str">
        <f>IF(H171&gt;=0.01, "Add 100kcal", "")</f>
        <v/>
      </c>
      <c r="O171" s="20"/>
      <c r="P171" s="5" t="str">
        <f>IF(O171&gt;0,P164+O171,"")</f>
        <v/>
      </c>
    </row>
    <row r="172" spans="1:16">
      <c r="A172" s="7">
        <f t="shared" si="2"/>
        <v>42318</v>
      </c>
      <c r="B172" s="27"/>
      <c r="C172" s="8"/>
      <c r="D172" s="9"/>
      <c r="E172" s="8"/>
      <c r="F172" s="8"/>
      <c r="G172" s="8"/>
      <c r="H172" s="32"/>
      <c r="I172" s="9"/>
      <c r="J172" s="9"/>
      <c r="K172" s="8"/>
      <c r="L172" s="9"/>
      <c r="M172" s="9"/>
      <c r="N172" s="9"/>
      <c r="O172" s="19"/>
      <c r="P172" s="10"/>
    </row>
    <row r="173" spans="1:16">
      <c r="A173" s="7">
        <f t="shared" si="2"/>
        <v>42319</v>
      </c>
      <c r="B173" s="27"/>
      <c r="C173" s="8"/>
      <c r="D173" s="9"/>
      <c r="E173" s="8"/>
      <c r="F173" s="8"/>
      <c r="G173" s="8"/>
      <c r="H173" s="32"/>
      <c r="I173" s="9"/>
      <c r="J173" s="9"/>
      <c r="K173" s="8"/>
      <c r="L173" s="9"/>
      <c r="M173" s="9"/>
      <c r="N173" s="9"/>
      <c r="O173" s="19"/>
      <c r="P173" s="10"/>
    </row>
    <row r="174" spans="1:16">
      <c r="A174" s="7">
        <f t="shared" si="2"/>
        <v>42320</v>
      </c>
      <c r="B174" s="27"/>
      <c r="C174" s="8"/>
      <c r="D174" s="9"/>
      <c r="E174" s="8"/>
      <c r="F174" s="8"/>
      <c r="G174" s="8"/>
      <c r="H174" s="32"/>
      <c r="I174" s="9"/>
      <c r="J174" s="9"/>
      <c r="K174" s="8"/>
      <c r="L174" s="9"/>
      <c r="M174" s="9"/>
      <c r="N174" s="9"/>
      <c r="O174" s="19"/>
      <c r="P174" s="10"/>
    </row>
    <row r="175" spans="1:16">
      <c r="A175" s="7">
        <f t="shared" si="2"/>
        <v>42321</v>
      </c>
      <c r="B175" s="27"/>
      <c r="C175" s="8"/>
      <c r="D175" s="9"/>
      <c r="E175" s="8"/>
      <c r="F175" s="8"/>
      <c r="G175" s="8"/>
      <c r="H175" s="32"/>
      <c r="I175" s="9"/>
      <c r="J175" s="9"/>
      <c r="K175" s="8"/>
      <c r="L175" s="9"/>
      <c r="M175" s="9"/>
      <c r="N175" s="9"/>
      <c r="O175" s="19"/>
      <c r="P175" s="10"/>
    </row>
    <row r="176" spans="1:16">
      <c r="A176" s="7">
        <f t="shared" si="2"/>
        <v>42322</v>
      </c>
      <c r="B176" s="27"/>
      <c r="C176" s="8"/>
      <c r="D176" s="9"/>
      <c r="E176" s="8"/>
      <c r="F176" s="8"/>
      <c r="G176" s="8"/>
      <c r="H176" s="32"/>
      <c r="I176" s="9"/>
      <c r="J176" s="9"/>
      <c r="K176" s="8"/>
      <c r="L176" s="9"/>
      <c r="M176" s="9"/>
      <c r="N176" s="9"/>
      <c r="O176" s="19"/>
      <c r="P176" s="10"/>
    </row>
    <row r="177" spans="1:16">
      <c r="A177" s="7">
        <f t="shared" si="2"/>
        <v>42323</v>
      </c>
      <c r="B177" s="27"/>
      <c r="C177" s="8"/>
      <c r="D177" s="9"/>
      <c r="E177" s="8"/>
      <c r="F177" s="8"/>
      <c r="G177" s="8"/>
      <c r="H177" s="32"/>
      <c r="I177" s="9"/>
      <c r="J177" s="9"/>
      <c r="K177" s="8"/>
      <c r="L177" s="9"/>
      <c r="M177" s="9"/>
      <c r="N177" s="9"/>
      <c r="O177" s="19"/>
      <c r="P177" s="10"/>
    </row>
    <row r="178" spans="1:16">
      <c r="A178" s="7">
        <f t="shared" si="2"/>
        <v>42324</v>
      </c>
      <c r="B178" s="27"/>
      <c r="C178" s="27"/>
      <c r="D178" s="21"/>
      <c r="E178" s="27"/>
      <c r="F178" s="29">
        <f>IFERROR(IF(INPUTS!B179="Male", 86.01*LOG(C178-D178)-70.041*LOG(INPUTS!B$7)+30.3, 163.205*LOG('BULKING TRACKER'!C178+'BULKING TRACKER'!E178-'BULKING TRACKER'!D178)-97.684*LOG(INPUTS!B$7)-104.912),0)</f>
        <v>0</v>
      </c>
      <c r="G178" s="11" t="str">
        <f>IF(B178&gt;0, AVERAGE(B172:B178), " ")</f>
        <v xml:space="preserve"> </v>
      </c>
      <c r="H178" s="30">
        <f>IFERROR(IF(B178&gt;0, (G171-G178)/G171,0.007), 0)</f>
        <v>7.0000000000000001E-3</v>
      </c>
      <c r="I178" s="13" t="str">
        <f>IF(H178&lt;0, "Cut 200kcal", "")</f>
        <v/>
      </c>
      <c r="J178" s="13" t="str">
        <f>IF(AND(H178&lt;0.005, H178&gt;=0), "Cut 100kcal", "")</f>
        <v/>
      </c>
      <c r="K178" s="13" t="str">
        <f>IF(AND(H178&lt;0.006, H178&gt;=0.005), "Cut 50kcal", "")</f>
        <v/>
      </c>
      <c r="L178" s="13" t="str">
        <f>IF(AND(H178&lt;0.008, H178&gt;=0.006), "Remain Constant", "")</f>
        <v>Remain Constant</v>
      </c>
      <c r="M178" s="13" t="str">
        <f>IF(AND(H178&gt;=0.008,H178&lt;0.01), "Add 50kcal", "")</f>
        <v/>
      </c>
      <c r="N178" s="13" t="str">
        <f>IF(H178&gt;=0.01, "Add 100kcal", "")</f>
        <v/>
      </c>
      <c r="O178" s="20"/>
      <c r="P178" s="5" t="str">
        <f>IF(O178&gt;0,P171+O178,"")</f>
        <v/>
      </c>
    </row>
    <row r="179" spans="1:16">
      <c r="A179" s="7">
        <f t="shared" si="2"/>
        <v>42325</v>
      </c>
      <c r="B179" s="27"/>
      <c r="C179" s="8"/>
      <c r="D179" s="9"/>
      <c r="E179" s="8"/>
      <c r="F179" s="8"/>
      <c r="G179" s="8"/>
      <c r="H179" s="32"/>
      <c r="I179" s="9"/>
      <c r="J179" s="9"/>
      <c r="K179" s="8"/>
      <c r="L179" s="9"/>
      <c r="M179" s="9"/>
      <c r="N179" s="9"/>
      <c r="O179" s="19"/>
      <c r="P179" s="10"/>
    </row>
    <row r="180" spans="1:16">
      <c r="A180" s="7">
        <f t="shared" si="2"/>
        <v>42326</v>
      </c>
      <c r="B180" s="27"/>
      <c r="C180" s="8"/>
      <c r="D180" s="9"/>
      <c r="E180" s="8"/>
      <c r="F180" s="8"/>
      <c r="G180" s="8"/>
      <c r="H180" s="32"/>
      <c r="I180" s="9"/>
      <c r="J180" s="9"/>
      <c r="K180" s="8"/>
      <c r="L180" s="9"/>
      <c r="M180" s="9"/>
      <c r="N180" s="9"/>
      <c r="O180" s="19"/>
      <c r="P180" s="10"/>
    </row>
    <row r="181" spans="1:16">
      <c r="A181" s="7">
        <f t="shared" si="2"/>
        <v>42327</v>
      </c>
      <c r="B181" s="27"/>
      <c r="C181" s="8"/>
      <c r="D181" s="9"/>
      <c r="E181" s="8"/>
      <c r="F181" s="8"/>
      <c r="G181" s="8"/>
      <c r="H181" s="32"/>
      <c r="I181" s="9"/>
      <c r="J181" s="9"/>
      <c r="K181" s="8"/>
      <c r="L181" s="9"/>
      <c r="M181" s="9"/>
      <c r="N181" s="9"/>
      <c r="O181" s="19"/>
      <c r="P181" s="10"/>
    </row>
    <row r="182" spans="1:16">
      <c r="A182" s="7">
        <f t="shared" si="2"/>
        <v>42328</v>
      </c>
      <c r="B182" s="27"/>
      <c r="C182" s="8"/>
      <c r="D182" s="9"/>
      <c r="E182" s="8"/>
      <c r="F182" s="8"/>
      <c r="G182" s="8"/>
      <c r="H182" s="32"/>
      <c r="I182" s="9"/>
      <c r="J182" s="9"/>
      <c r="K182" s="8"/>
      <c r="L182" s="9"/>
      <c r="M182" s="9"/>
      <c r="N182" s="9"/>
      <c r="O182" s="19"/>
      <c r="P182" s="10"/>
    </row>
    <row r="183" spans="1:16">
      <c r="A183" s="7">
        <f t="shared" si="2"/>
        <v>42329</v>
      </c>
      <c r="B183" s="27"/>
      <c r="C183" s="8"/>
      <c r="D183" s="9"/>
      <c r="E183" s="8"/>
      <c r="F183" s="8"/>
      <c r="G183" s="8"/>
      <c r="H183" s="32"/>
      <c r="I183" s="9"/>
      <c r="J183" s="9"/>
      <c r="K183" s="8"/>
      <c r="L183" s="9"/>
      <c r="M183" s="9"/>
      <c r="N183" s="9"/>
      <c r="O183" s="19"/>
      <c r="P183" s="10"/>
    </row>
    <row r="184" spans="1:16">
      <c r="A184" s="7">
        <f t="shared" si="2"/>
        <v>42330</v>
      </c>
      <c r="B184" s="27"/>
      <c r="C184" s="8"/>
      <c r="D184" s="9"/>
      <c r="E184" s="8"/>
      <c r="F184" s="8"/>
      <c r="G184" s="8"/>
      <c r="H184" s="32"/>
      <c r="I184" s="9"/>
      <c r="J184" s="9"/>
      <c r="K184" s="8"/>
      <c r="L184" s="9"/>
      <c r="M184" s="9"/>
      <c r="N184" s="9"/>
      <c r="O184" s="19"/>
      <c r="P184" s="10"/>
    </row>
    <row r="185" spans="1:16">
      <c r="A185" s="7">
        <f t="shared" si="2"/>
        <v>42331</v>
      </c>
      <c r="B185" s="27"/>
      <c r="C185" s="27"/>
      <c r="D185" s="21"/>
      <c r="E185" s="27"/>
      <c r="F185" s="29">
        <f>IFERROR(IF(INPUTS!B186="Male", 86.01*LOG(C185-D185)-70.041*LOG(INPUTS!B$7)+30.3, 163.205*LOG('BULKING TRACKER'!C185+'BULKING TRACKER'!E185-'BULKING TRACKER'!D185)-97.684*LOG(INPUTS!B$7)-104.912),0)</f>
        <v>0</v>
      </c>
      <c r="G185" s="11" t="str">
        <f>IF(B185&gt;0, AVERAGE(B179:B185), " ")</f>
        <v xml:space="preserve"> </v>
      </c>
      <c r="H185" s="30">
        <f>IFERROR(IF(B185&gt;0, (G178-G185)/G178,0.007), 0)</f>
        <v>7.0000000000000001E-3</v>
      </c>
      <c r="I185" s="13" t="str">
        <f>IF(H185&lt;0, "Cut 200kcal", "")</f>
        <v/>
      </c>
      <c r="J185" s="13" t="str">
        <f>IF(AND(H185&lt;0.005, H185&gt;=0), "Cut 100kcal", "")</f>
        <v/>
      </c>
      <c r="K185" s="13" t="str">
        <f>IF(AND(H185&lt;0.006, H185&gt;=0.005), "Cut 50kcal", "")</f>
        <v/>
      </c>
      <c r="L185" s="13" t="str">
        <f>IF(AND(H185&lt;0.008, H185&gt;=0.006), "Remain Constant", "")</f>
        <v>Remain Constant</v>
      </c>
      <c r="M185" s="13" t="str">
        <f>IF(AND(H185&gt;=0.008,H185&lt;0.01), "Add 50kcal", "")</f>
        <v/>
      </c>
      <c r="N185" s="13" t="str">
        <f>IF(H185&gt;=0.01, "Add 100kcal", "")</f>
        <v/>
      </c>
      <c r="O185" s="20"/>
      <c r="P185" s="5" t="str">
        <f>IF(O185&gt;0,P178+O185,"")</f>
        <v/>
      </c>
    </row>
    <row r="186" spans="1:16">
      <c r="A186" s="7">
        <f t="shared" si="2"/>
        <v>42332</v>
      </c>
      <c r="B186" s="27"/>
      <c r="C186" s="8"/>
      <c r="D186" s="9"/>
      <c r="E186" s="8"/>
      <c r="F186" s="8"/>
      <c r="G186" s="8"/>
      <c r="H186" s="32"/>
      <c r="I186" s="9"/>
      <c r="J186" s="9"/>
      <c r="K186" s="8"/>
      <c r="L186" s="9"/>
      <c r="M186" s="9"/>
      <c r="N186" s="9"/>
      <c r="O186" s="19"/>
      <c r="P186" s="10"/>
    </row>
    <row r="187" spans="1:16">
      <c r="A187" s="7">
        <f t="shared" si="2"/>
        <v>42333</v>
      </c>
      <c r="B187" s="27"/>
      <c r="C187" s="8"/>
      <c r="D187" s="9"/>
      <c r="E187" s="8"/>
      <c r="F187" s="8"/>
      <c r="G187" s="8"/>
      <c r="H187" s="32"/>
      <c r="I187" s="9"/>
      <c r="J187" s="9"/>
      <c r="K187" s="8"/>
      <c r="L187" s="9"/>
      <c r="M187" s="9"/>
      <c r="N187" s="9"/>
      <c r="O187" s="19"/>
      <c r="P187" s="10"/>
    </row>
    <row r="188" spans="1:16">
      <c r="A188" s="7">
        <f t="shared" si="2"/>
        <v>42334</v>
      </c>
      <c r="B188" s="27"/>
      <c r="C188" s="8"/>
      <c r="D188" s="9"/>
      <c r="E188" s="8"/>
      <c r="F188" s="8"/>
      <c r="G188" s="8"/>
      <c r="H188" s="32"/>
      <c r="I188" s="9"/>
      <c r="J188" s="9"/>
      <c r="K188" s="8"/>
      <c r="L188" s="9"/>
      <c r="M188" s="9"/>
      <c r="N188" s="9"/>
      <c r="O188" s="19"/>
      <c r="P188" s="10"/>
    </row>
    <row r="189" spans="1:16">
      <c r="A189" s="7">
        <f t="shared" si="2"/>
        <v>42335</v>
      </c>
      <c r="B189" s="27"/>
      <c r="C189" s="8"/>
      <c r="D189" s="9"/>
      <c r="E189" s="8"/>
      <c r="F189" s="8"/>
      <c r="G189" s="8"/>
      <c r="H189" s="32"/>
      <c r="I189" s="9"/>
      <c r="J189" s="9"/>
      <c r="K189" s="8"/>
      <c r="L189" s="9"/>
      <c r="M189" s="9"/>
      <c r="N189" s="9"/>
      <c r="O189" s="19"/>
      <c r="P189" s="10"/>
    </row>
    <row r="190" spans="1:16">
      <c r="A190" s="7">
        <f t="shared" si="2"/>
        <v>42336</v>
      </c>
      <c r="B190" s="27"/>
      <c r="C190" s="8"/>
      <c r="D190" s="9"/>
      <c r="E190" s="8"/>
      <c r="F190" s="8"/>
      <c r="G190" s="8"/>
      <c r="H190" s="32"/>
      <c r="I190" s="9"/>
      <c r="J190" s="9"/>
      <c r="K190" s="8"/>
      <c r="L190" s="9"/>
      <c r="M190" s="9"/>
      <c r="N190" s="9"/>
      <c r="O190" s="19"/>
      <c r="P190" s="10"/>
    </row>
    <row r="191" spans="1:16">
      <c r="A191" s="7">
        <f t="shared" si="2"/>
        <v>42337</v>
      </c>
      <c r="B191" s="27"/>
      <c r="C191" s="8"/>
      <c r="D191" s="9"/>
      <c r="E191" s="8"/>
      <c r="F191" s="8"/>
      <c r="G191" s="8"/>
      <c r="H191" s="32"/>
      <c r="I191" s="9"/>
      <c r="J191" s="9"/>
      <c r="K191" s="8"/>
      <c r="L191" s="9"/>
      <c r="M191" s="9"/>
      <c r="N191" s="9"/>
      <c r="O191" s="19"/>
      <c r="P191" s="10"/>
    </row>
    <row r="192" spans="1:16">
      <c r="A192" s="7">
        <f t="shared" si="2"/>
        <v>42338</v>
      </c>
      <c r="B192" s="27"/>
      <c r="C192" s="27"/>
      <c r="D192" s="21"/>
      <c r="E192" s="27"/>
      <c r="F192" s="29">
        <f>IFERROR(IF(INPUTS!B193="Male", 86.01*LOG(C192-D192)-70.041*LOG(INPUTS!B$7)+30.3, 163.205*LOG('BULKING TRACKER'!C192+'BULKING TRACKER'!E192-'BULKING TRACKER'!D192)-97.684*LOG(INPUTS!B$7)-104.912),0)</f>
        <v>0</v>
      </c>
      <c r="G192" s="11" t="str">
        <f>IF(B192&gt;0, AVERAGE(B186:B192), " ")</f>
        <v xml:space="preserve"> </v>
      </c>
      <c r="H192" s="30">
        <f>IFERROR(IF(B192&gt;0, (G185-G192)/G185,0.007), 0)</f>
        <v>7.0000000000000001E-3</v>
      </c>
      <c r="I192" s="13" t="str">
        <f>IF(H192&lt;0, "Cut 200kcal", "")</f>
        <v/>
      </c>
      <c r="J192" s="13" t="str">
        <f>IF(AND(H192&lt;0.005, H192&gt;=0), "Cut 100kcal", "")</f>
        <v/>
      </c>
      <c r="K192" s="13" t="str">
        <f>IF(AND(H192&lt;0.006, H192&gt;=0.005), "Cut 50kcal", "")</f>
        <v/>
      </c>
      <c r="L192" s="13" t="str">
        <f>IF(AND(H192&lt;0.008, H192&gt;=0.006), "Remain Constant", "")</f>
        <v>Remain Constant</v>
      </c>
      <c r="M192" s="13" t="str">
        <f>IF(AND(H192&gt;=0.008,H192&lt;0.01), "Add 50kcal", "")</f>
        <v/>
      </c>
      <c r="N192" s="13" t="str">
        <f>IF(H192&gt;=0.01, "Add 100kcal", "")</f>
        <v/>
      </c>
      <c r="O192" s="20"/>
      <c r="P192" s="5" t="str">
        <f>IF(O192&gt;0,P185+O192,"")</f>
        <v/>
      </c>
    </row>
    <row r="193" spans="1:16">
      <c r="A193" s="7">
        <f t="shared" si="2"/>
        <v>42339</v>
      </c>
      <c r="B193" s="27"/>
      <c r="C193" s="8"/>
      <c r="D193" s="9"/>
      <c r="E193" s="8"/>
      <c r="F193" s="8"/>
      <c r="G193" s="8"/>
      <c r="H193" s="32"/>
      <c r="I193" s="9"/>
      <c r="J193" s="9"/>
      <c r="K193" s="8"/>
      <c r="L193" s="9"/>
      <c r="M193" s="9"/>
      <c r="N193" s="9"/>
      <c r="O193" s="19"/>
      <c r="P193" s="10"/>
    </row>
    <row r="194" spans="1:16">
      <c r="A194" s="7">
        <f t="shared" si="2"/>
        <v>42340</v>
      </c>
      <c r="B194" s="27"/>
      <c r="C194" s="8"/>
      <c r="D194" s="9"/>
      <c r="E194" s="8"/>
      <c r="F194" s="8"/>
      <c r="G194" s="8"/>
      <c r="H194" s="32"/>
      <c r="I194" s="9"/>
      <c r="J194" s="9"/>
      <c r="K194" s="8"/>
      <c r="L194" s="9"/>
      <c r="M194" s="9"/>
      <c r="N194" s="9"/>
      <c r="O194" s="19"/>
      <c r="P194" s="10"/>
    </row>
    <row r="195" spans="1:16">
      <c r="A195" s="7">
        <f t="shared" si="2"/>
        <v>42341</v>
      </c>
      <c r="B195" s="27"/>
      <c r="C195" s="8"/>
      <c r="D195" s="9"/>
      <c r="E195" s="8"/>
      <c r="F195" s="8"/>
      <c r="G195" s="8"/>
      <c r="H195" s="32"/>
      <c r="I195" s="9"/>
      <c r="J195" s="9"/>
      <c r="K195" s="8"/>
      <c r="L195" s="9"/>
      <c r="M195" s="9"/>
      <c r="N195" s="9"/>
      <c r="O195" s="19"/>
      <c r="P195" s="10"/>
    </row>
    <row r="196" spans="1:16">
      <c r="A196" s="7">
        <f t="shared" si="2"/>
        <v>42342</v>
      </c>
      <c r="B196" s="27"/>
      <c r="C196" s="8"/>
      <c r="D196" s="9"/>
      <c r="E196" s="8"/>
      <c r="F196" s="8"/>
      <c r="G196" s="8"/>
      <c r="H196" s="32"/>
      <c r="I196" s="9"/>
      <c r="J196" s="9"/>
      <c r="K196" s="8"/>
      <c r="L196" s="9"/>
      <c r="M196" s="9"/>
      <c r="N196" s="9"/>
      <c r="O196" s="19"/>
      <c r="P196" s="10"/>
    </row>
    <row r="197" spans="1:16">
      <c r="A197" s="7">
        <f t="shared" ref="A197:A260" si="3">A196+1</f>
        <v>42343</v>
      </c>
      <c r="B197" s="27"/>
      <c r="C197" s="8"/>
      <c r="D197" s="9"/>
      <c r="E197" s="8"/>
      <c r="F197" s="8"/>
      <c r="G197" s="8"/>
      <c r="H197" s="32"/>
      <c r="I197" s="9"/>
      <c r="J197" s="9"/>
      <c r="K197" s="8"/>
      <c r="L197" s="9"/>
      <c r="M197" s="9"/>
      <c r="N197" s="9"/>
      <c r="O197" s="19"/>
      <c r="P197" s="10"/>
    </row>
    <row r="198" spans="1:16">
      <c r="A198" s="7">
        <f t="shared" si="3"/>
        <v>42344</v>
      </c>
      <c r="B198" s="27"/>
      <c r="C198" s="8"/>
      <c r="D198" s="9"/>
      <c r="E198" s="8"/>
      <c r="F198" s="8"/>
      <c r="G198" s="8"/>
      <c r="H198" s="32"/>
      <c r="I198" s="9"/>
      <c r="J198" s="9"/>
      <c r="K198" s="8"/>
      <c r="L198" s="9"/>
      <c r="M198" s="9"/>
      <c r="N198" s="9"/>
      <c r="O198" s="19"/>
      <c r="P198" s="10"/>
    </row>
    <row r="199" spans="1:16">
      <c r="A199" s="7">
        <f t="shared" si="3"/>
        <v>42345</v>
      </c>
      <c r="B199" s="27"/>
      <c r="C199" s="27"/>
      <c r="D199" s="21"/>
      <c r="E199" s="27"/>
      <c r="F199" s="29">
        <f>IFERROR(IF(INPUTS!B200="Male", 86.01*LOG(C199-D199)-70.041*LOG(INPUTS!B$7)+30.3, 163.205*LOG('BULKING TRACKER'!C199+'BULKING TRACKER'!E199-'BULKING TRACKER'!D199)-97.684*LOG(INPUTS!B$7)-104.912),0)</f>
        <v>0</v>
      </c>
      <c r="G199" s="11" t="str">
        <f>IF(B199&gt;0, AVERAGE(B193:B199), " ")</f>
        <v xml:space="preserve"> </v>
      </c>
      <c r="H199" s="30">
        <f>IFERROR(IF(B199&gt;0, (G192-G199)/G192,0.007), 0)</f>
        <v>7.0000000000000001E-3</v>
      </c>
      <c r="I199" s="13" t="str">
        <f>IF(H199&lt;0, "Cut 200kcal", "")</f>
        <v/>
      </c>
      <c r="J199" s="13" t="str">
        <f>IF(AND(H199&lt;0.005, H199&gt;=0), "Cut 100kcal", "")</f>
        <v/>
      </c>
      <c r="K199" s="13" t="str">
        <f>IF(AND(H199&lt;0.006, H199&gt;=0.005), "Cut 50kcal", "")</f>
        <v/>
      </c>
      <c r="L199" s="13" t="str">
        <f>IF(AND(H199&lt;0.008, H199&gt;=0.006), "Remain Constant", "")</f>
        <v>Remain Constant</v>
      </c>
      <c r="M199" s="13" t="str">
        <f>IF(AND(H199&gt;=0.008,H199&lt;0.01), "Add 50kcal", "")</f>
        <v/>
      </c>
      <c r="N199" s="13" t="str">
        <f>IF(H199&gt;=0.01, "Add 100kcal", "")</f>
        <v/>
      </c>
      <c r="O199" s="20"/>
      <c r="P199" s="5" t="str">
        <f>IF(O199&gt;0,P192+O199,"")</f>
        <v/>
      </c>
    </row>
    <row r="200" spans="1:16">
      <c r="A200" s="7">
        <f t="shared" si="3"/>
        <v>42346</v>
      </c>
      <c r="B200" s="27"/>
      <c r="C200" s="8"/>
      <c r="D200" s="9"/>
      <c r="E200" s="8"/>
      <c r="F200" s="8"/>
      <c r="G200" s="8"/>
      <c r="H200" s="32"/>
      <c r="I200" s="9"/>
      <c r="J200" s="9"/>
      <c r="K200" s="8"/>
      <c r="L200" s="9"/>
      <c r="M200" s="9"/>
      <c r="N200" s="9"/>
      <c r="O200" s="19"/>
      <c r="P200" s="10"/>
    </row>
    <row r="201" spans="1:16">
      <c r="A201" s="7">
        <f t="shared" si="3"/>
        <v>42347</v>
      </c>
      <c r="B201" s="27"/>
      <c r="C201" s="8"/>
      <c r="D201" s="9"/>
      <c r="E201" s="8"/>
      <c r="F201" s="8"/>
      <c r="G201" s="8"/>
      <c r="H201" s="32"/>
      <c r="I201" s="9"/>
      <c r="J201" s="9"/>
      <c r="K201" s="8"/>
      <c r="L201" s="9"/>
      <c r="M201" s="9"/>
      <c r="N201" s="9"/>
      <c r="O201" s="19"/>
      <c r="P201" s="10"/>
    </row>
    <row r="202" spans="1:16">
      <c r="A202" s="7">
        <f t="shared" si="3"/>
        <v>42348</v>
      </c>
      <c r="B202" s="27"/>
      <c r="C202" s="8"/>
      <c r="D202" s="9"/>
      <c r="E202" s="8"/>
      <c r="F202" s="8"/>
      <c r="G202" s="8"/>
      <c r="H202" s="32"/>
      <c r="I202" s="9"/>
      <c r="J202" s="9"/>
      <c r="K202" s="8"/>
      <c r="L202" s="9"/>
      <c r="M202" s="9"/>
      <c r="N202" s="9"/>
      <c r="O202" s="19"/>
      <c r="P202" s="10"/>
    </row>
    <row r="203" spans="1:16">
      <c r="A203" s="7">
        <f t="shared" si="3"/>
        <v>42349</v>
      </c>
      <c r="B203" s="27"/>
      <c r="C203" s="8"/>
      <c r="D203" s="9"/>
      <c r="E203" s="8"/>
      <c r="F203" s="8"/>
      <c r="G203" s="8"/>
      <c r="H203" s="32"/>
      <c r="I203" s="9"/>
      <c r="J203" s="9"/>
      <c r="K203" s="8"/>
      <c r="L203" s="9"/>
      <c r="M203" s="9"/>
      <c r="N203" s="9"/>
      <c r="O203" s="19"/>
      <c r="P203" s="10"/>
    </row>
    <row r="204" spans="1:16">
      <c r="A204" s="7">
        <f t="shared" si="3"/>
        <v>42350</v>
      </c>
      <c r="B204" s="27"/>
      <c r="C204" s="8"/>
      <c r="D204" s="9"/>
      <c r="E204" s="8"/>
      <c r="F204" s="8"/>
      <c r="G204" s="8"/>
      <c r="H204" s="32"/>
      <c r="I204" s="9"/>
      <c r="J204" s="9"/>
      <c r="K204" s="8"/>
      <c r="L204" s="9"/>
      <c r="M204" s="9"/>
      <c r="N204" s="9"/>
      <c r="O204" s="19"/>
      <c r="P204" s="10"/>
    </row>
    <row r="205" spans="1:16">
      <c r="A205" s="7">
        <f t="shared" si="3"/>
        <v>42351</v>
      </c>
      <c r="B205" s="27"/>
      <c r="C205" s="8"/>
      <c r="D205" s="9"/>
      <c r="E205" s="8"/>
      <c r="F205" s="8"/>
      <c r="G205" s="8"/>
      <c r="H205" s="32"/>
      <c r="I205" s="9"/>
      <c r="J205" s="9"/>
      <c r="K205" s="8"/>
      <c r="L205" s="9"/>
      <c r="M205" s="9"/>
      <c r="N205" s="9"/>
      <c r="O205" s="19"/>
      <c r="P205" s="10"/>
    </row>
    <row r="206" spans="1:16">
      <c r="A206" s="7">
        <f t="shared" si="3"/>
        <v>42352</v>
      </c>
      <c r="B206" s="27"/>
      <c r="C206" s="27"/>
      <c r="D206" s="21"/>
      <c r="E206" s="27"/>
      <c r="F206" s="29">
        <f>IFERROR(IF(INPUTS!B207="Male", 86.01*LOG(C206-D206)-70.041*LOG(INPUTS!B$7)+30.3, 163.205*LOG('BULKING TRACKER'!C206+'BULKING TRACKER'!E206-'BULKING TRACKER'!D206)-97.684*LOG(INPUTS!B$7)-104.912),0)</f>
        <v>0</v>
      </c>
      <c r="G206" s="11" t="str">
        <f>IF(B206&gt;0, AVERAGE(B200:B206), " ")</f>
        <v xml:space="preserve"> </v>
      </c>
      <c r="H206" s="30">
        <f>IFERROR(IF(B206&gt;0, (G199-G206)/G199,0.007), 0)</f>
        <v>7.0000000000000001E-3</v>
      </c>
      <c r="I206" s="13" t="str">
        <f>IF(H206&lt;0, "Cut 200kcal", "")</f>
        <v/>
      </c>
      <c r="J206" s="13" t="str">
        <f>IF(AND(H206&lt;0.005, H206&gt;=0), "Cut 100kcal", "")</f>
        <v/>
      </c>
      <c r="K206" s="13" t="str">
        <f>IF(AND(H206&lt;0.006, H206&gt;=0.005), "Cut 50kcal", "")</f>
        <v/>
      </c>
      <c r="L206" s="13" t="str">
        <f>IF(AND(H206&lt;0.008, H206&gt;=0.006), "Remain Constant", "")</f>
        <v>Remain Constant</v>
      </c>
      <c r="M206" s="13" t="str">
        <f>IF(AND(H206&gt;=0.008,H206&lt;0.01), "Add 50kcal", "")</f>
        <v/>
      </c>
      <c r="N206" s="13" t="str">
        <f>IF(H206&gt;=0.01, "Add 100kcal", "")</f>
        <v/>
      </c>
      <c r="O206" s="20"/>
      <c r="P206" s="5" t="str">
        <f>IF(O206&gt;0,P199+O206,"")</f>
        <v/>
      </c>
    </row>
    <row r="207" spans="1:16">
      <c r="A207" s="7">
        <f t="shared" si="3"/>
        <v>42353</v>
      </c>
      <c r="B207" s="27"/>
      <c r="C207" s="8"/>
      <c r="D207" s="9"/>
      <c r="E207" s="8"/>
      <c r="F207" s="8"/>
      <c r="G207" s="8"/>
      <c r="H207" s="32"/>
      <c r="I207" s="9"/>
      <c r="J207" s="9"/>
      <c r="K207" s="8"/>
      <c r="L207" s="9"/>
      <c r="M207" s="9"/>
      <c r="N207" s="9"/>
      <c r="O207" s="19"/>
      <c r="P207" s="10"/>
    </row>
    <row r="208" spans="1:16">
      <c r="A208" s="7">
        <f t="shared" si="3"/>
        <v>42354</v>
      </c>
      <c r="B208" s="27"/>
      <c r="C208" s="8"/>
      <c r="D208" s="9"/>
      <c r="E208" s="8"/>
      <c r="F208" s="8"/>
      <c r="G208" s="8"/>
      <c r="H208" s="32"/>
      <c r="I208" s="9"/>
      <c r="J208" s="9"/>
      <c r="K208" s="8"/>
      <c r="L208" s="9"/>
      <c r="M208" s="9"/>
      <c r="N208" s="9"/>
      <c r="O208" s="19"/>
      <c r="P208" s="10"/>
    </row>
    <row r="209" spans="1:16">
      <c r="A209" s="7">
        <f t="shared" si="3"/>
        <v>42355</v>
      </c>
      <c r="B209" s="27"/>
      <c r="C209" s="8"/>
      <c r="D209" s="9"/>
      <c r="E209" s="8"/>
      <c r="F209" s="8"/>
      <c r="G209" s="8"/>
      <c r="H209" s="32"/>
      <c r="I209" s="9"/>
      <c r="J209" s="9"/>
      <c r="K209" s="8"/>
      <c r="L209" s="9"/>
      <c r="M209" s="9"/>
      <c r="N209" s="9"/>
      <c r="O209" s="19"/>
      <c r="P209" s="10"/>
    </row>
    <row r="210" spans="1:16">
      <c r="A210" s="7">
        <f t="shared" si="3"/>
        <v>42356</v>
      </c>
      <c r="B210" s="27"/>
      <c r="C210" s="8"/>
      <c r="D210" s="9"/>
      <c r="E210" s="8"/>
      <c r="F210" s="8"/>
      <c r="G210" s="8"/>
      <c r="H210" s="32"/>
      <c r="I210" s="9"/>
      <c r="J210" s="9"/>
      <c r="K210" s="8"/>
      <c r="L210" s="9"/>
      <c r="M210" s="9"/>
      <c r="N210" s="9"/>
      <c r="O210" s="19"/>
      <c r="P210" s="10"/>
    </row>
    <row r="211" spans="1:16">
      <c r="A211" s="7">
        <f t="shared" si="3"/>
        <v>42357</v>
      </c>
      <c r="B211" s="27"/>
      <c r="C211" s="8"/>
      <c r="D211" s="9"/>
      <c r="E211" s="8"/>
      <c r="F211" s="8"/>
      <c r="G211" s="8"/>
      <c r="H211" s="32"/>
      <c r="I211" s="9"/>
      <c r="J211" s="9"/>
      <c r="K211" s="8"/>
      <c r="L211" s="9"/>
      <c r="M211" s="9"/>
      <c r="N211" s="9"/>
      <c r="O211" s="19"/>
      <c r="P211" s="10"/>
    </row>
    <row r="212" spans="1:16">
      <c r="A212" s="7">
        <f t="shared" si="3"/>
        <v>42358</v>
      </c>
      <c r="B212" s="27"/>
      <c r="C212" s="8"/>
      <c r="D212" s="9"/>
      <c r="E212" s="8"/>
      <c r="F212" s="8"/>
      <c r="G212" s="8"/>
      <c r="H212" s="32"/>
      <c r="I212" s="9"/>
      <c r="J212" s="9"/>
      <c r="K212" s="8"/>
      <c r="L212" s="9"/>
      <c r="M212" s="9"/>
      <c r="N212" s="9"/>
      <c r="O212" s="19"/>
      <c r="P212" s="10"/>
    </row>
    <row r="213" spans="1:16">
      <c r="A213" s="7">
        <f t="shared" si="3"/>
        <v>42359</v>
      </c>
      <c r="B213" s="27"/>
      <c r="C213" s="27"/>
      <c r="D213" s="21"/>
      <c r="E213" s="27"/>
      <c r="F213" s="29">
        <f>IFERROR(IF(INPUTS!B214="Male", 86.01*LOG(C213-D213)-70.041*LOG(INPUTS!B$7)+30.3, 163.205*LOG('BULKING TRACKER'!C213+'BULKING TRACKER'!E213-'BULKING TRACKER'!D213)-97.684*LOG(INPUTS!B$7)-104.912),0)</f>
        <v>0</v>
      </c>
      <c r="G213" s="11" t="str">
        <f>IF(B213&gt;0, AVERAGE(B207:B213), " ")</f>
        <v xml:space="preserve"> </v>
      </c>
      <c r="H213" s="30">
        <f>IFERROR(IF(B213&gt;0, (G206-G213)/G206,0.007), 0)</f>
        <v>7.0000000000000001E-3</v>
      </c>
      <c r="I213" s="13" t="str">
        <f>IF(H213&lt;0, "Cut 200kcal", "")</f>
        <v/>
      </c>
      <c r="J213" s="13" t="str">
        <f>IF(AND(H213&lt;0.005, H213&gt;=0), "Cut 100kcal", "")</f>
        <v/>
      </c>
      <c r="K213" s="13" t="str">
        <f>IF(AND(H213&lt;0.006, H213&gt;=0.005), "Cut 50kcal", "")</f>
        <v/>
      </c>
      <c r="L213" s="13" t="str">
        <f>IF(AND(H213&lt;0.008, H213&gt;=0.006), "Remain Constant", "")</f>
        <v>Remain Constant</v>
      </c>
      <c r="M213" s="13" t="str">
        <f>IF(AND(H213&gt;=0.008,H213&lt;0.01), "Add 50kcal", "")</f>
        <v/>
      </c>
      <c r="N213" s="13" t="str">
        <f>IF(H213&gt;=0.01, "Add 100kcal", "")</f>
        <v/>
      </c>
      <c r="O213" s="20"/>
      <c r="P213" s="5" t="str">
        <f>IF(O213&gt;0,P206+O213,"")</f>
        <v/>
      </c>
    </row>
    <row r="214" spans="1:16">
      <c r="A214" s="7">
        <f t="shared" si="3"/>
        <v>42360</v>
      </c>
      <c r="B214" s="27"/>
      <c r="C214" s="8"/>
      <c r="D214" s="9"/>
      <c r="E214" s="8"/>
      <c r="F214" s="8"/>
      <c r="G214" s="8"/>
      <c r="H214" s="32"/>
      <c r="I214" s="9"/>
      <c r="J214" s="9"/>
      <c r="K214" s="8"/>
      <c r="L214" s="9"/>
      <c r="M214" s="9"/>
      <c r="N214" s="9"/>
      <c r="O214" s="19"/>
      <c r="P214" s="10"/>
    </row>
    <row r="215" spans="1:16">
      <c r="A215" s="7">
        <f t="shared" si="3"/>
        <v>42361</v>
      </c>
      <c r="B215" s="27"/>
      <c r="C215" s="8"/>
      <c r="D215" s="9"/>
      <c r="E215" s="8"/>
      <c r="F215" s="8"/>
      <c r="G215" s="8"/>
      <c r="H215" s="32"/>
      <c r="I215" s="9"/>
      <c r="J215" s="9"/>
      <c r="K215" s="8"/>
      <c r="L215" s="9"/>
      <c r="M215" s="9"/>
      <c r="N215" s="9"/>
      <c r="O215" s="19"/>
      <c r="P215" s="10"/>
    </row>
    <row r="216" spans="1:16">
      <c r="A216" s="7">
        <f t="shared" si="3"/>
        <v>42362</v>
      </c>
      <c r="B216" s="27"/>
      <c r="C216" s="8"/>
      <c r="D216" s="9"/>
      <c r="E216" s="8"/>
      <c r="F216" s="8"/>
      <c r="G216" s="8"/>
      <c r="H216" s="32"/>
      <c r="I216" s="9"/>
      <c r="J216" s="9"/>
      <c r="K216" s="8"/>
      <c r="L216" s="9"/>
      <c r="M216" s="9"/>
      <c r="N216" s="9"/>
      <c r="O216" s="19"/>
      <c r="P216" s="10"/>
    </row>
    <row r="217" spans="1:16">
      <c r="A217" s="7">
        <f t="shared" si="3"/>
        <v>42363</v>
      </c>
      <c r="B217" s="27"/>
      <c r="C217" s="8"/>
      <c r="D217" s="9"/>
      <c r="E217" s="8"/>
      <c r="F217" s="8"/>
      <c r="G217" s="8"/>
      <c r="H217" s="32"/>
      <c r="I217" s="9"/>
      <c r="J217" s="9"/>
      <c r="K217" s="8"/>
      <c r="L217" s="9"/>
      <c r="M217" s="9"/>
      <c r="N217" s="9"/>
      <c r="O217" s="19"/>
      <c r="P217" s="10"/>
    </row>
    <row r="218" spans="1:16">
      <c r="A218" s="7">
        <f t="shared" si="3"/>
        <v>42364</v>
      </c>
      <c r="B218" s="27"/>
      <c r="C218" s="8"/>
      <c r="D218" s="9"/>
      <c r="E218" s="8"/>
      <c r="F218" s="8"/>
      <c r="G218" s="8"/>
      <c r="H218" s="32"/>
      <c r="I218" s="9"/>
      <c r="J218" s="9"/>
      <c r="K218" s="8"/>
      <c r="L218" s="9"/>
      <c r="M218" s="9"/>
      <c r="N218" s="9"/>
      <c r="O218" s="19"/>
      <c r="P218" s="10"/>
    </row>
    <row r="219" spans="1:16">
      <c r="A219" s="7">
        <f t="shared" si="3"/>
        <v>42365</v>
      </c>
      <c r="B219" s="27"/>
      <c r="C219" s="8"/>
      <c r="D219" s="9"/>
      <c r="E219" s="8"/>
      <c r="F219" s="8"/>
      <c r="G219" s="8"/>
      <c r="H219" s="32"/>
      <c r="I219" s="9"/>
      <c r="J219" s="9"/>
      <c r="K219" s="8"/>
      <c r="L219" s="9"/>
      <c r="M219" s="9"/>
      <c r="N219" s="9"/>
      <c r="O219" s="19"/>
      <c r="P219" s="10"/>
    </row>
    <row r="220" spans="1:16">
      <c r="A220" s="7">
        <f t="shared" si="3"/>
        <v>42366</v>
      </c>
      <c r="B220" s="27"/>
      <c r="C220" s="27"/>
      <c r="D220" s="21"/>
      <c r="E220" s="27"/>
      <c r="F220" s="29">
        <f>IFERROR(IF(INPUTS!B221="Male", 86.01*LOG(C220-D220)-70.041*LOG(INPUTS!B$7)+30.3, 163.205*LOG('BULKING TRACKER'!C220+'BULKING TRACKER'!E220-'BULKING TRACKER'!D220)-97.684*LOG(INPUTS!B$7)-104.912),0)</f>
        <v>0</v>
      </c>
      <c r="G220" s="11" t="str">
        <f>IF(B220&gt;0, AVERAGE(B214:B220), " ")</f>
        <v xml:space="preserve"> </v>
      </c>
      <c r="H220" s="30">
        <f>IFERROR(IF(B220&gt;0, (G213-G220)/G213,0.007), 0)</f>
        <v>7.0000000000000001E-3</v>
      </c>
      <c r="I220" s="13" t="str">
        <f>IF(H220&lt;0, "Cut 200kcal", "")</f>
        <v/>
      </c>
      <c r="J220" s="13" t="str">
        <f>IF(AND(H220&lt;0.005, H220&gt;=0), "Cut 100kcal", "")</f>
        <v/>
      </c>
      <c r="K220" s="13" t="str">
        <f>IF(AND(H220&lt;0.006, H220&gt;=0.005), "Cut 50kcal", "")</f>
        <v/>
      </c>
      <c r="L220" s="13" t="str">
        <f>IF(AND(H220&lt;0.008, H220&gt;=0.006), "Remain Constant", "")</f>
        <v>Remain Constant</v>
      </c>
      <c r="M220" s="13" t="str">
        <f>IF(AND(H220&gt;=0.008,H220&lt;0.01), "Add 50kcal", "")</f>
        <v/>
      </c>
      <c r="N220" s="13" t="str">
        <f>IF(H220&gt;=0.01, "Add 100kcal", "")</f>
        <v/>
      </c>
      <c r="O220" s="20"/>
      <c r="P220" s="5" t="str">
        <f>IF(O220&gt;0,P213+O220,"")</f>
        <v/>
      </c>
    </row>
    <row r="221" spans="1:16">
      <c r="A221" s="7">
        <f t="shared" si="3"/>
        <v>42367</v>
      </c>
      <c r="B221" s="27"/>
      <c r="C221" s="8"/>
      <c r="D221" s="9"/>
      <c r="E221" s="8"/>
      <c r="F221" s="8"/>
      <c r="G221" s="8"/>
      <c r="H221" s="32"/>
      <c r="I221" s="9"/>
      <c r="J221" s="9"/>
      <c r="K221" s="8"/>
      <c r="L221" s="9"/>
      <c r="M221" s="9"/>
      <c r="N221" s="9"/>
      <c r="O221" s="19"/>
      <c r="P221" s="10"/>
    </row>
    <row r="222" spans="1:16">
      <c r="A222" s="7">
        <f t="shared" si="3"/>
        <v>42368</v>
      </c>
      <c r="B222" s="27"/>
      <c r="C222" s="8"/>
      <c r="D222" s="9"/>
      <c r="E222" s="8"/>
      <c r="F222" s="8"/>
      <c r="G222" s="8"/>
      <c r="H222" s="32"/>
      <c r="I222" s="9"/>
      <c r="J222" s="9"/>
      <c r="K222" s="8"/>
      <c r="L222" s="9"/>
      <c r="M222" s="9"/>
      <c r="N222" s="9"/>
      <c r="O222" s="19"/>
      <c r="P222" s="10"/>
    </row>
    <row r="223" spans="1:16">
      <c r="A223" s="7">
        <f t="shared" si="3"/>
        <v>42369</v>
      </c>
      <c r="B223" s="27"/>
      <c r="C223" s="8"/>
      <c r="D223" s="9"/>
      <c r="E223" s="8"/>
      <c r="F223" s="8"/>
      <c r="G223" s="8"/>
      <c r="H223" s="32"/>
      <c r="I223" s="9"/>
      <c r="J223" s="9"/>
      <c r="K223" s="8"/>
      <c r="L223" s="9"/>
      <c r="M223" s="9"/>
      <c r="N223" s="9"/>
      <c r="O223" s="19"/>
      <c r="P223" s="10"/>
    </row>
    <row r="224" spans="1:16">
      <c r="A224" s="7">
        <f t="shared" si="3"/>
        <v>42370</v>
      </c>
      <c r="B224" s="27"/>
      <c r="C224" s="8"/>
      <c r="D224" s="9"/>
      <c r="E224" s="8"/>
      <c r="F224" s="8"/>
      <c r="G224" s="8"/>
      <c r="H224" s="32"/>
      <c r="I224" s="9"/>
      <c r="J224" s="9"/>
      <c r="K224" s="8"/>
      <c r="L224" s="9"/>
      <c r="M224" s="9"/>
      <c r="N224" s="9"/>
      <c r="O224" s="19"/>
      <c r="P224" s="10"/>
    </row>
    <row r="225" spans="1:16">
      <c r="A225" s="7">
        <f t="shared" si="3"/>
        <v>42371</v>
      </c>
      <c r="B225" s="27"/>
      <c r="C225" s="8"/>
      <c r="D225" s="9"/>
      <c r="E225" s="8"/>
      <c r="F225" s="8"/>
      <c r="G225" s="8"/>
      <c r="H225" s="32"/>
      <c r="I225" s="9"/>
      <c r="J225" s="9"/>
      <c r="K225" s="8"/>
      <c r="L225" s="9"/>
      <c r="M225" s="9"/>
      <c r="N225" s="9"/>
      <c r="O225" s="19"/>
      <c r="P225" s="10"/>
    </row>
    <row r="226" spans="1:16">
      <c r="A226" s="7">
        <f t="shared" si="3"/>
        <v>42372</v>
      </c>
      <c r="B226" s="27"/>
      <c r="C226" s="8"/>
      <c r="D226" s="9"/>
      <c r="E226" s="8"/>
      <c r="F226" s="8"/>
      <c r="G226" s="8"/>
      <c r="H226" s="32"/>
      <c r="I226" s="9"/>
      <c r="J226" s="9"/>
      <c r="K226" s="8"/>
      <c r="L226" s="9"/>
      <c r="M226" s="9"/>
      <c r="N226" s="9"/>
      <c r="O226" s="19"/>
      <c r="P226" s="10"/>
    </row>
    <row r="227" spans="1:16">
      <c r="A227" s="7">
        <f t="shared" si="3"/>
        <v>42373</v>
      </c>
      <c r="B227" s="27"/>
      <c r="C227" s="27"/>
      <c r="D227" s="21"/>
      <c r="E227" s="27"/>
      <c r="F227" s="29">
        <f>IFERROR(IF(INPUTS!B228="Male", 86.01*LOG(C227-D227)-70.041*LOG(INPUTS!B$7)+30.3, 163.205*LOG('BULKING TRACKER'!C227+'BULKING TRACKER'!E227-'BULKING TRACKER'!D227)-97.684*LOG(INPUTS!B$7)-104.912),0)</f>
        <v>0</v>
      </c>
      <c r="G227" s="11" t="str">
        <f>IF(B227&gt;0, AVERAGE(B221:B227), " ")</f>
        <v xml:space="preserve"> </v>
      </c>
      <c r="H227" s="30">
        <f>IFERROR(IF(B227&gt;0, (G220-G227)/G220,0.007), 0)</f>
        <v>7.0000000000000001E-3</v>
      </c>
      <c r="I227" s="13" t="str">
        <f>IF(H227&lt;0, "Cut 200kcal", "")</f>
        <v/>
      </c>
      <c r="J227" s="13" t="str">
        <f>IF(AND(H227&lt;0.005, H227&gt;=0), "Cut 100kcal", "")</f>
        <v/>
      </c>
      <c r="K227" s="13" t="str">
        <f>IF(AND(H227&lt;0.006, H227&gt;=0.005), "Cut 50kcal", "")</f>
        <v/>
      </c>
      <c r="L227" s="13" t="str">
        <f>IF(AND(H227&lt;0.008, H227&gt;=0.006), "Remain Constant", "")</f>
        <v>Remain Constant</v>
      </c>
      <c r="M227" s="13" t="str">
        <f>IF(AND(H227&gt;=0.008,H227&lt;0.01), "Add 50kcal", "")</f>
        <v/>
      </c>
      <c r="N227" s="13" t="str">
        <f>IF(H227&gt;=0.01, "Add 100kcal", "")</f>
        <v/>
      </c>
      <c r="O227" s="20"/>
      <c r="P227" s="5" t="str">
        <f>IF(O227&gt;0,P220+O227,"")</f>
        <v/>
      </c>
    </row>
    <row r="228" spans="1:16">
      <c r="A228" s="7">
        <f t="shared" si="3"/>
        <v>42374</v>
      </c>
      <c r="B228" s="27"/>
      <c r="C228" s="8"/>
      <c r="D228" s="9"/>
      <c r="E228" s="8"/>
      <c r="F228" s="8"/>
      <c r="G228" s="8"/>
      <c r="H228" s="32"/>
      <c r="I228" s="9"/>
      <c r="J228" s="9"/>
      <c r="K228" s="8"/>
      <c r="L228" s="9"/>
      <c r="M228" s="9"/>
      <c r="N228" s="9"/>
      <c r="O228" s="19"/>
      <c r="P228" s="10"/>
    </row>
    <row r="229" spans="1:16">
      <c r="A229" s="7">
        <f t="shared" si="3"/>
        <v>42375</v>
      </c>
      <c r="B229" s="27"/>
      <c r="C229" s="8"/>
      <c r="D229" s="9"/>
      <c r="E229" s="8"/>
      <c r="F229" s="8"/>
      <c r="G229" s="8"/>
      <c r="H229" s="32"/>
      <c r="I229" s="9"/>
      <c r="J229" s="9"/>
      <c r="K229" s="8"/>
      <c r="L229" s="9"/>
      <c r="M229" s="9"/>
      <c r="N229" s="9"/>
      <c r="O229" s="19"/>
      <c r="P229" s="10"/>
    </row>
    <row r="230" spans="1:16">
      <c r="A230" s="7">
        <f t="shared" si="3"/>
        <v>42376</v>
      </c>
      <c r="B230" s="27"/>
      <c r="C230" s="8"/>
      <c r="D230" s="9"/>
      <c r="E230" s="8"/>
      <c r="F230" s="8"/>
      <c r="G230" s="8"/>
      <c r="H230" s="32"/>
      <c r="I230" s="9"/>
      <c r="J230" s="9"/>
      <c r="K230" s="8"/>
      <c r="L230" s="9"/>
      <c r="M230" s="9"/>
      <c r="N230" s="9"/>
      <c r="O230" s="19"/>
      <c r="P230" s="10"/>
    </row>
    <row r="231" spans="1:16">
      <c r="A231" s="7">
        <f t="shared" si="3"/>
        <v>42377</v>
      </c>
      <c r="B231" s="27"/>
      <c r="C231" s="8"/>
      <c r="D231" s="9"/>
      <c r="E231" s="8"/>
      <c r="F231" s="8"/>
      <c r="G231" s="8"/>
      <c r="H231" s="32"/>
      <c r="I231" s="9"/>
      <c r="J231" s="9"/>
      <c r="K231" s="8"/>
      <c r="L231" s="9"/>
      <c r="M231" s="9"/>
      <c r="N231" s="9"/>
      <c r="O231" s="19"/>
      <c r="P231" s="10"/>
    </row>
    <row r="232" spans="1:16">
      <c r="A232" s="7">
        <f t="shared" si="3"/>
        <v>42378</v>
      </c>
      <c r="B232" s="27"/>
      <c r="C232" s="8"/>
      <c r="D232" s="9"/>
      <c r="E232" s="8"/>
      <c r="F232" s="8"/>
      <c r="G232" s="8"/>
      <c r="H232" s="32"/>
      <c r="I232" s="9"/>
      <c r="J232" s="9"/>
      <c r="K232" s="8"/>
      <c r="L232" s="9"/>
      <c r="M232" s="9"/>
      <c r="N232" s="9"/>
      <c r="O232" s="19"/>
      <c r="P232" s="10"/>
    </row>
    <row r="233" spans="1:16">
      <c r="A233" s="7">
        <f t="shared" si="3"/>
        <v>42379</v>
      </c>
      <c r="B233" s="27"/>
      <c r="C233" s="8"/>
      <c r="D233" s="9"/>
      <c r="E233" s="8"/>
      <c r="F233" s="8"/>
      <c r="G233" s="8"/>
      <c r="H233" s="32"/>
      <c r="I233" s="9"/>
      <c r="J233" s="9"/>
      <c r="K233" s="8"/>
      <c r="L233" s="9"/>
      <c r="M233" s="9"/>
      <c r="N233" s="9"/>
      <c r="O233" s="19"/>
      <c r="P233" s="10"/>
    </row>
    <row r="234" spans="1:16">
      <c r="A234" s="7">
        <f t="shared" si="3"/>
        <v>42380</v>
      </c>
      <c r="B234" s="27"/>
      <c r="C234" s="27"/>
      <c r="D234" s="21"/>
      <c r="E234" s="27"/>
      <c r="F234" s="29">
        <f>IFERROR(IF(INPUTS!B235="Male", 86.01*LOG(C234-D234)-70.041*LOG(INPUTS!B$7)+30.3, 163.205*LOG('BULKING TRACKER'!C234+'BULKING TRACKER'!E234-'BULKING TRACKER'!D234)-97.684*LOG(INPUTS!B$7)-104.912),0)</f>
        <v>0</v>
      </c>
      <c r="G234" s="11" t="str">
        <f>IF(B234&gt;0, AVERAGE(B228:B234), " ")</f>
        <v xml:space="preserve"> </v>
      </c>
      <c r="H234" s="30">
        <f>IFERROR(IF(B234&gt;0, (G227-G234)/G227,0.007), 0)</f>
        <v>7.0000000000000001E-3</v>
      </c>
      <c r="I234" s="13" t="str">
        <f>IF(H234&lt;0, "Cut 200kcal", "")</f>
        <v/>
      </c>
      <c r="J234" s="13" t="str">
        <f>IF(AND(H234&lt;0.005, H234&gt;=0), "Cut 100kcal", "")</f>
        <v/>
      </c>
      <c r="K234" s="13" t="str">
        <f>IF(AND(H234&lt;0.006, H234&gt;=0.005), "Cut 50kcal", "")</f>
        <v/>
      </c>
      <c r="L234" s="13" t="str">
        <f>IF(AND(H234&lt;0.008, H234&gt;=0.006), "Remain Constant", "")</f>
        <v>Remain Constant</v>
      </c>
      <c r="M234" s="13" t="str">
        <f>IF(AND(H234&gt;=0.008,H234&lt;0.01), "Add 50kcal", "")</f>
        <v/>
      </c>
      <c r="N234" s="13" t="str">
        <f>IF(H234&gt;=0.01, "Add 100kcal", "")</f>
        <v/>
      </c>
      <c r="O234" s="20"/>
      <c r="P234" s="5" t="str">
        <f>IF(O234&gt;0,P227+O234,"")</f>
        <v/>
      </c>
    </row>
    <row r="235" spans="1:16">
      <c r="A235" s="7">
        <f t="shared" si="3"/>
        <v>42381</v>
      </c>
      <c r="B235" s="27"/>
      <c r="C235" s="8"/>
      <c r="D235" s="9"/>
      <c r="E235" s="8"/>
      <c r="F235" s="8"/>
      <c r="G235" s="8"/>
      <c r="H235" s="32"/>
      <c r="I235" s="9"/>
      <c r="J235" s="9"/>
      <c r="K235" s="8"/>
      <c r="L235" s="9"/>
      <c r="M235" s="9"/>
      <c r="N235" s="9"/>
      <c r="O235" s="19"/>
      <c r="P235" s="10"/>
    </row>
    <row r="236" spans="1:16">
      <c r="A236" s="7">
        <f t="shared" si="3"/>
        <v>42382</v>
      </c>
      <c r="B236" s="27"/>
      <c r="C236" s="8"/>
      <c r="D236" s="9"/>
      <c r="E236" s="8"/>
      <c r="F236" s="8"/>
      <c r="G236" s="8"/>
      <c r="H236" s="32"/>
      <c r="I236" s="9"/>
      <c r="J236" s="9"/>
      <c r="K236" s="8"/>
      <c r="L236" s="9"/>
      <c r="M236" s="9"/>
      <c r="N236" s="9"/>
      <c r="O236" s="19"/>
      <c r="P236" s="10"/>
    </row>
    <row r="237" spans="1:16">
      <c r="A237" s="7">
        <f t="shared" si="3"/>
        <v>42383</v>
      </c>
      <c r="B237" s="27"/>
      <c r="C237" s="8"/>
      <c r="D237" s="9"/>
      <c r="E237" s="8"/>
      <c r="F237" s="8"/>
      <c r="G237" s="8"/>
      <c r="H237" s="32"/>
      <c r="I237" s="9"/>
      <c r="J237" s="9"/>
      <c r="K237" s="8"/>
      <c r="L237" s="9"/>
      <c r="M237" s="9"/>
      <c r="N237" s="9"/>
      <c r="O237" s="19"/>
      <c r="P237" s="10"/>
    </row>
    <row r="238" spans="1:16">
      <c r="A238" s="7">
        <f t="shared" si="3"/>
        <v>42384</v>
      </c>
      <c r="B238" s="27"/>
      <c r="C238" s="8"/>
      <c r="D238" s="9"/>
      <c r="E238" s="8"/>
      <c r="F238" s="8"/>
      <c r="G238" s="8"/>
      <c r="H238" s="32"/>
      <c r="I238" s="9"/>
      <c r="J238" s="9"/>
      <c r="K238" s="8"/>
      <c r="L238" s="9"/>
      <c r="M238" s="9"/>
      <c r="N238" s="9"/>
      <c r="O238" s="19"/>
      <c r="P238" s="10"/>
    </row>
    <row r="239" spans="1:16">
      <c r="A239" s="7">
        <f t="shared" si="3"/>
        <v>42385</v>
      </c>
      <c r="B239" s="27"/>
      <c r="C239" s="8"/>
      <c r="D239" s="9"/>
      <c r="E239" s="8"/>
      <c r="F239" s="8"/>
      <c r="G239" s="8"/>
      <c r="H239" s="32"/>
      <c r="I239" s="9"/>
      <c r="J239" s="9"/>
      <c r="K239" s="8"/>
      <c r="L239" s="9"/>
      <c r="M239" s="9"/>
      <c r="N239" s="9"/>
      <c r="O239" s="19"/>
      <c r="P239" s="10"/>
    </row>
    <row r="240" spans="1:16">
      <c r="A240" s="7">
        <f t="shared" si="3"/>
        <v>42386</v>
      </c>
      <c r="B240" s="27"/>
      <c r="C240" s="8"/>
      <c r="D240" s="9"/>
      <c r="E240" s="8"/>
      <c r="F240" s="8"/>
      <c r="G240" s="8"/>
      <c r="H240" s="32"/>
      <c r="I240" s="9"/>
      <c r="J240" s="9"/>
      <c r="K240" s="8"/>
      <c r="L240" s="9"/>
      <c r="M240" s="9"/>
      <c r="N240" s="9"/>
      <c r="O240" s="19"/>
      <c r="P240" s="10"/>
    </row>
    <row r="241" spans="1:16">
      <c r="A241" s="7">
        <f t="shared" si="3"/>
        <v>42387</v>
      </c>
      <c r="B241" s="27"/>
      <c r="C241" s="27"/>
      <c r="D241" s="21"/>
      <c r="E241" s="27"/>
      <c r="F241" s="29">
        <f>IFERROR(IF(INPUTS!B242="Male", 86.01*LOG(C241-D241)-70.041*LOG(INPUTS!B$7)+30.3, 163.205*LOG('BULKING TRACKER'!C241+'BULKING TRACKER'!E241-'BULKING TRACKER'!D241)-97.684*LOG(INPUTS!B$7)-104.912),0)</f>
        <v>0</v>
      </c>
      <c r="G241" s="11" t="str">
        <f>IF(B241&gt;0, AVERAGE(B235:B241), " ")</f>
        <v xml:space="preserve"> </v>
      </c>
      <c r="H241" s="30">
        <f>IFERROR(IF(B241&gt;0, (G234-G241)/G234,0.007), 0)</f>
        <v>7.0000000000000001E-3</v>
      </c>
      <c r="I241" s="13" t="str">
        <f>IF(H241&lt;0, "Cut 200kcal", "")</f>
        <v/>
      </c>
      <c r="J241" s="13" t="str">
        <f>IF(AND(H241&lt;0.005, H241&gt;=0), "Cut 100kcal", "")</f>
        <v/>
      </c>
      <c r="K241" s="13" t="str">
        <f>IF(AND(H241&lt;0.006, H241&gt;=0.005), "Cut 50kcal", "")</f>
        <v/>
      </c>
      <c r="L241" s="13" t="str">
        <f>IF(AND(H241&lt;0.008, H241&gt;=0.006), "Remain Constant", "")</f>
        <v>Remain Constant</v>
      </c>
      <c r="M241" s="13" t="str">
        <f>IF(AND(H241&gt;=0.008,H241&lt;0.01), "Add 50kcal", "")</f>
        <v/>
      </c>
      <c r="N241" s="13" t="str">
        <f>IF(H241&gt;=0.01, "Add 100kcal", "")</f>
        <v/>
      </c>
      <c r="O241" s="20"/>
      <c r="P241" s="5" t="str">
        <f>IF(O241&gt;0,P234+O241,"")</f>
        <v/>
      </c>
    </row>
    <row r="242" spans="1:16">
      <c r="A242" s="7">
        <f t="shared" si="3"/>
        <v>42388</v>
      </c>
      <c r="B242" s="27"/>
      <c r="C242" s="8"/>
      <c r="D242" s="9"/>
      <c r="E242" s="8"/>
      <c r="F242" s="8"/>
      <c r="G242" s="8"/>
      <c r="H242" s="32"/>
      <c r="I242" s="9"/>
      <c r="J242" s="9"/>
      <c r="K242" s="8"/>
      <c r="L242" s="9"/>
      <c r="M242" s="9"/>
      <c r="N242" s="9"/>
      <c r="O242" s="19"/>
      <c r="P242" s="10"/>
    </row>
    <row r="243" spans="1:16">
      <c r="A243" s="7">
        <f t="shared" si="3"/>
        <v>42389</v>
      </c>
      <c r="B243" s="27"/>
      <c r="C243" s="8"/>
      <c r="D243" s="9"/>
      <c r="E243" s="8"/>
      <c r="F243" s="8"/>
      <c r="G243" s="8"/>
      <c r="H243" s="32"/>
      <c r="I243" s="9"/>
      <c r="J243" s="9"/>
      <c r="K243" s="8"/>
      <c r="L243" s="9"/>
      <c r="M243" s="9"/>
      <c r="N243" s="9"/>
      <c r="O243" s="19"/>
      <c r="P243" s="10"/>
    </row>
    <row r="244" spans="1:16">
      <c r="A244" s="7">
        <f t="shared" si="3"/>
        <v>42390</v>
      </c>
      <c r="B244" s="27"/>
      <c r="C244" s="8"/>
      <c r="D244" s="9"/>
      <c r="E244" s="8"/>
      <c r="F244" s="8"/>
      <c r="G244" s="8"/>
      <c r="H244" s="32"/>
      <c r="I244" s="9"/>
      <c r="J244" s="9"/>
      <c r="K244" s="8"/>
      <c r="L244" s="9"/>
      <c r="M244" s="9"/>
      <c r="N244" s="9"/>
      <c r="O244" s="19"/>
      <c r="P244" s="10"/>
    </row>
    <row r="245" spans="1:16">
      <c r="A245" s="7">
        <f t="shared" si="3"/>
        <v>42391</v>
      </c>
      <c r="B245" s="27"/>
      <c r="C245" s="8"/>
      <c r="D245" s="9"/>
      <c r="E245" s="8"/>
      <c r="F245" s="8"/>
      <c r="G245" s="8"/>
      <c r="H245" s="32"/>
      <c r="I245" s="9"/>
      <c r="J245" s="9"/>
      <c r="K245" s="8"/>
      <c r="L245" s="9"/>
      <c r="M245" s="9"/>
      <c r="N245" s="9"/>
      <c r="O245" s="19"/>
      <c r="P245" s="10"/>
    </row>
    <row r="246" spans="1:16">
      <c r="A246" s="7">
        <f t="shared" si="3"/>
        <v>42392</v>
      </c>
      <c r="B246" s="27"/>
      <c r="C246" s="8"/>
      <c r="D246" s="9"/>
      <c r="E246" s="8"/>
      <c r="F246" s="8"/>
      <c r="G246" s="8"/>
      <c r="H246" s="32"/>
      <c r="I246" s="9"/>
      <c r="J246" s="9"/>
      <c r="K246" s="8"/>
      <c r="L246" s="9"/>
      <c r="M246" s="9"/>
      <c r="N246" s="9"/>
      <c r="O246" s="19"/>
      <c r="P246" s="10"/>
    </row>
    <row r="247" spans="1:16">
      <c r="A247" s="7">
        <f t="shared" si="3"/>
        <v>42393</v>
      </c>
      <c r="B247" s="27"/>
      <c r="C247" s="8"/>
      <c r="D247" s="9"/>
      <c r="E247" s="8"/>
      <c r="F247" s="8"/>
      <c r="G247" s="8"/>
      <c r="H247" s="32"/>
      <c r="I247" s="9"/>
      <c r="J247" s="9"/>
      <c r="K247" s="8"/>
      <c r="L247" s="9"/>
      <c r="M247" s="9"/>
      <c r="N247" s="9"/>
      <c r="O247" s="19"/>
      <c r="P247" s="10"/>
    </row>
    <row r="248" spans="1:16">
      <c r="A248" s="7">
        <f t="shared" si="3"/>
        <v>42394</v>
      </c>
      <c r="B248" s="27"/>
      <c r="C248" s="27"/>
      <c r="D248" s="21"/>
      <c r="E248" s="27"/>
      <c r="F248" s="29">
        <f>IFERROR(IF(INPUTS!B249="Male", 86.01*LOG(C248-D248)-70.041*LOG(INPUTS!B$7)+30.3, 163.205*LOG('BULKING TRACKER'!C248+'BULKING TRACKER'!E248-'BULKING TRACKER'!D248)-97.684*LOG(INPUTS!B$7)-104.912),0)</f>
        <v>0</v>
      </c>
      <c r="G248" s="11" t="str">
        <f>IF(B248&gt;0, AVERAGE(B242:B248), " ")</f>
        <v xml:space="preserve"> </v>
      </c>
      <c r="H248" s="30">
        <f>IFERROR(IF(B248&gt;0, (G241-G248)/G241,0.007), 0)</f>
        <v>7.0000000000000001E-3</v>
      </c>
      <c r="I248" s="13" t="str">
        <f>IF(H248&lt;0, "Cut 200kcal", "")</f>
        <v/>
      </c>
      <c r="J248" s="13" t="str">
        <f>IF(AND(H248&lt;0.005, H248&gt;=0), "Cut 100kcal", "")</f>
        <v/>
      </c>
      <c r="K248" s="13" t="str">
        <f>IF(AND(H248&lt;0.006, H248&gt;=0.005), "Cut 50kcal", "")</f>
        <v/>
      </c>
      <c r="L248" s="13" t="str">
        <f>IF(AND(H248&lt;0.008, H248&gt;=0.006), "Remain Constant", "")</f>
        <v>Remain Constant</v>
      </c>
      <c r="M248" s="13" t="str">
        <f>IF(AND(H248&gt;=0.008,H248&lt;0.01), "Add 50kcal", "")</f>
        <v/>
      </c>
      <c r="N248" s="13" t="str">
        <f>IF(H248&gt;=0.01, "Add 100kcal", "")</f>
        <v/>
      </c>
      <c r="O248" s="20"/>
      <c r="P248" s="5" t="str">
        <f>IF(O248&gt;0,P241+O248,"")</f>
        <v/>
      </c>
    </row>
    <row r="249" spans="1:16">
      <c r="A249" s="7">
        <f t="shared" si="3"/>
        <v>42395</v>
      </c>
      <c r="B249" s="27"/>
      <c r="C249" s="8"/>
      <c r="D249" s="9"/>
      <c r="E249" s="8"/>
      <c r="F249" s="8"/>
      <c r="G249" s="8"/>
      <c r="H249" s="32"/>
      <c r="I249" s="9"/>
      <c r="J249" s="9"/>
      <c r="K249" s="8"/>
      <c r="L249" s="9"/>
      <c r="M249" s="9"/>
      <c r="N249" s="9"/>
      <c r="O249" s="19"/>
      <c r="P249" s="10"/>
    </row>
    <row r="250" spans="1:16">
      <c r="A250" s="7">
        <f t="shared" si="3"/>
        <v>42396</v>
      </c>
      <c r="B250" s="27"/>
      <c r="C250" s="8"/>
      <c r="D250" s="9"/>
      <c r="E250" s="8"/>
      <c r="F250" s="8"/>
      <c r="G250" s="8"/>
      <c r="H250" s="32"/>
      <c r="I250" s="9"/>
      <c r="J250" s="9"/>
      <c r="K250" s="8"/>
      <c r="L250" s="9"/>
      <c r="M250" s="9"/>
      <c r="N250" s="9"/>
      <c r="O250" s="19"/>
      <c r="P250" s="10"/>
    </row>
    <row r="251" spans="1:16">
      <c r="A251" s="7">
        <f t="shared" si="3"/>
        <v>42397</v>
      </c>
      <c r="B251" s="27"/>
      <c r="C251" s="8"/>
      <c r="D251" s="9"/>
      <c r="E251" s="8"/>
      <c r="F251" s="8"/>
      <c r="G251" s="8"/>
      <c r="H251" s="32"/>
      <c r="I251" s="9"/>
      <c r="J251" s="9"/>
      <c r="K251" s="8"/>
      <c r="L251" s="9"/>
      <c r="M251" s="9"/>
      <c r="N251" s="9"/>
      <c r="O251" s="19"/>
      <c r="P251" s="10"/>
    </row>
    <row r="252" spans="1:16">
      <c r="A252" s="7">
        <f t="shared" si="3"/>
        <v>42398</v>
      </c>
      <c r="B252" s="27"/>
      <c r="C252" s="8"/>
      <c r="D252" s="9"/>
      <c r="E252" s="8"/>
      <c r="F252" s="8"/>
      <c r="G252" s="8"/>
      <c r="H252" s="32"/>
      <c r="I252" s="9"/>
      <c r="J252" s="9"/>
      <c r="K252" s="8"/>
      <c r="L252" s="9"/>
      <c r="M252" s="9"/>
      <c r="N252" s="9"/>
      <c r="O252" s="19"/>
      <c r="P252" s="10"/>
    </row>
    <row r="253" spans="1:16">
      <c r="A253" s="7">
        <f t="shared" si="3"/>
        <v>42399</v>
      </c>
      <c r="B253" s="27"/>
      <c r="C253" s="8"/>
      <c r="D253" s="9"/>
      <c r="E253" s="8"/>
      <c r="F253" s="8"/>
      <c r="G253" s="8"/>
      <c r="H253" s="32"/>
      <c r="I253" s="9"/>
      <c r="J253" s="9"/>
      <c r="K253" s="8"/>
      <c r="L253" s="9"/>
      <c r="M253" s="9"/>
      <c r="N253" s="9"/>
      <c r="O253" s="19"/>
      <c r="P253" s="10"/>
    </row>
    <row r="254" spans="1:16">
      <c r="A254" s="7">
        <f t="shared" si="3"/>
        <v>42400</v>
      </c>
      <c r="B254" s="27"/>
      <c r="C254" s="8"/>
      <c r="D254" s="9"/>
      <c r="E254" s="8"/>
      <c r="F254" s="8"/>
      <c r="G254" s="8"/>
      <c r="H254" s="32"/>
      <c r="I254" s="9"/>
      <c r="J254" s="9"/>
      <c r="K254" s="8"/>
      <c r="L254" s="9"/>
      <c r="M254" s="9"/>
      <c r="N254" s="9"/>
      <c r="O254" s="19"/>
      <c r="P254" s="10"/>
    </row>
    <row r="255" spans="1:16">
      <c r="A255" s="7">
        <f t="shared" si="3"/>
        <v>42401</v>
      </c>
      <c r="B255" s="27"/>
      <c r="C255" s="27"/>
      <c r="D255" s="21"/>
      <c r="E255" s="27"/>
      <c r="F255" s="29">
        <f>IFERROR(IF(INPUTS!B256="Male", 86.01*LOG(C255-D255)-70.041*LOG(INPUTS!B$7)+30.3, 163.205*LOG('BULKING TRACKER'!C255+'BULKING TRACKER'!E255-'BULKING TRACKER'!D255)-97.684*LOG(INPUTS!B$7)-104.912),0)</f>
        <v>0</v>
      </c>
      <c r="G255" s="11" t="str">
        <f>IF(B255&gt;0, AVERAGE(B249:B255), " ")</f>
        <v xml:space="preserve"> </v>
      </c>
      <c r="H255" s="30">
        <f>IFERROR(IF(B255&gt;0, (G248-G255)/G248,0.007), 0)</f>
        <v>7.0000000000000001E-3</v>
      </c>
      <c r="I255" s="13" t="str">
        <f>IF(H255&lt;0, "Cut 200kcal", "")</f>
        <v/>
      </c>
      <c r="J255" s="13" t="str">
        <f>IF(AND(H255&lt;0.005, H255&gt;=0), "Cut 100kcal", "")</f>
        <v/>
      </c>
      <c r="K255" s="13" t="str">
        <f>IF(AND(H255&lt;0.006, H255&gt;=0.005), "Cut 50kcal", "")</f>
        <v/>
      </c>
      <c r="L255" s="13" t="str">
        <f>IF(AND(H255&lt;0.008, H255&gt;=0.006), "Remain Constant", "")</f>
        <v>Remain Constant</v>
      </c>
      <c r="M255" s="13" t="str">
        <f>IF(AND(H255&gt;=0.008,H255&lt;0.01), "Add 50kcal", "")</f>
        <v/>
      </c>
      <c r="N255" s="13" t="str">
        <f>IF(H255&gt;=0.01, "Add 100kcal", "")</f>
        <v/>
      </c>
      <c r="O255" s="20"/>
      <c r="P255" s="5" t="str">
        <f>IF(O255&gt;0,P248+O255,"")</f>
        <v/>
      </c>
    </row>
    <row r="256" spans="1:16">
      <c r="A256" s="7">
        <f t="shared" si="3"/>
        <v>42402</v>
      </c>
      <c r="B256" s="27"/>
      <c r="C256" s="8"/>
      <c r="D256" s="9"/>
      <c r="E256" s="8"/>
      <c r="F256" s="8"/>
      <c r="G256" s="8"/>
      <c r="H256" s="32"/>
      <c r="I256" s="9"/>
      <c r="J256" s="9"/>
      <c r="K256" s="8"/>
      <c r="L256" s="9"/>
      <c r="M256" s="9"/>
      <c r="N256" s="9"/>
      <c r="O256" s="19"/>
      <c r="P256" s="10"/>
    </row>
    <row r="257" spans="1:16">
      <c r="A257" s="7">
        <f t="shared" si="3"/>
        <v>42403</v>
      </c>
      <c r="B257" s="27"/>
      <c r="C257" s="8"/>
      <c r="D257" s="9"/>
      <c r="E257" s="8"/>
      <c r="F257" s="8"/>
      <c r="G257" s="8"/>
      <c r="H257" s="32"/>
      <c r="I257" s="9"/>
      <c r="J257" s="9"/>
      <c r="K257" s="8"/>
      <c r="L257" s="9"/>
      <c r="M257" s="9"/>
      <c r="N257" s="9"/>
      <c r="O257" s="19"/>
      <c r="P257" s="10"/>
    </row>
    <row r="258" spans="1:16">
      <c r="A258" s="7">
        <f t="shared" si="3"/>
        <v>42404</v>
      </c>
      <c r="B258" s="27"/>
      <c r="C258" s="8"/>
      <c r="D258" s="9"/>
      <c r="E258" s="8"/>
      <c r="F258" s="8"/>
      <c r="G258" s="8"/>
      <c r="H258" s="32"/>
      <c r="I258" s="9"/>
      <c r="J258" s="9"/>
      <c r="K258" s="8"/>
      <c r="L258" s="9"/>
      <c r="M258" s="9"/>
      <c r="N258" s="9"/>
      <c r="O258" s="19"/>
      <c r="P258" s="10"/>
    </row>
    <row r="259" spans="1:16">
      <c r="A259" s="7">
        <f t="shared" si="3"/>
        <v>42405</v>
      </c>
      <c r="B259" s="27"/>
      <c r="C259" s="8"/>
      <c r="D259" s="9"/>
      <c r="E259" s="8"/>
      <c r="F259" s="8"/>
      <c r="G259" s="8"/>
      <c r="H259" s="32"/>
      <c r="I259" s="9"/>
      <c r="J259" s="9"/>
      <c r="K259" s="8"/>
      <c r="L259" s="9"/>
      <c r="M259" s="9"/>
      <c r="N259" s="9"/>
      <c r="O259" s="19"/>
      <c r="P259" s="10"/>
    </row>
    <row r="260" spans="1:16">
      <c r="A260" s="7">
        <f t="shared" si="3"/>
        <v>42406</v>
      </c>
      <c r="B260" s="27"/>
      <c r="C260" s="8"/>
      <c r="D260" s="9"/>
      <c r="E260" s="8"/>
      <c r="F260" s="8"/>
      <c r="G260" s="8"/>
      <c r="H260" s="32"/>
      <c r="I260" s="9"/>
      <c r="J260" s="9"/>
      <c r="K260" s="8"/>
      <c r="L260" s="9"/>
      <c r="M260" s="9"/>
      <c r="N260" s="9"/>
      <c r="O260" s="19"/>
      <c r="P260" s="10"/>
    </row>
    <row r="261" spans="1:16">
      <c r="A261" s="7">
        <f t="shared" ref="A261:A324" si="4">A260+1</f>
        <v>42407</v>
      </c>
      <c r="B261" s="27"/>
      <c r="C261" s="8"/>
      <c r="D261" s="9"/>
      <c r="E261" s="8"/>
      <c r="F261" s="8"/>
      <c r="G261" s="8"/>
      <c r="H261" s="32"/>
      <c r="I261" s="9"/>
      <c r="J261" s="9"/>
      <c r="K261" s="8"/>
      <c r="L261" s="9"/>
      <c r="M261" s="9"/>
      <c r="N261" s="9"/>
      <c r="O261" s="19"/>
      <c r="P261" s="10"/>
    </row>
    <row r="262" spans="1:16">
      <c r="A262" s="7">
        <f t="shared" si="4"/>
        <v>42408</v>
      </c>
      <c r="B262" s="27"/>
      <c r="C262" s="27"/>
      <c r="D262" s="21"/>
      <c r="E262" s="27"/>
      <c r="F262" s="29">
        <f>IFERROR(IF(INPUTS!B263="Male", 86.01*LOG(C262-D262)-70.041*LOG(INPUTS!B$7)+30.3, 163.205*LOG('BULKING TRACKER'!C262+'BULKING TRACKER'!E262-'BULKING TRACKER'!D262)-97.684*LOG(INPUTS!B$7)-104.912),0)</f>
        <v>0</v>
      </c>
      <c r="G262" s="11" t="str">
        <f>IF(B262&gt;0, AVERAGE(B256:B262), " ")</f>
        <v xml:space="preserve"> </v>
      </c>
      <c r="H262" s="30">
        <f>IFERROR(IF(B262&gt;0, (G255-G262)/G255,0.007), 0)</f>
        <v>7.0000000000000001E-3</v>
      </c>
      <c r="I262" s="13" t="str">
        <f>IF(H262&lt;0, "Cut 200kcal", "")</f>
        <v/>
      </c>
      <c r="J262" s="13" t="str">
        <f>IF(AND(H262&lt;0.005, H262&gt;=0), "Cut 100kcal", "")</f>
        <v/>
      </c>
      <c r="K262" s="13" t="str">
        <f>IF(AND(H262&lt;0.006, H262&gt;=0.005), "Cut 50kcal", "")</f>
        <v/>
      </c>
      <c r="L262" s="13" t="str">
        <f>IF(AND(H262&lt;0.008, H262&gt;=0.006), "Remain Constant", "")</f>
        <v>Remain Constant</v>
      </c>
      <c r="M262" s="13" t="str">
        <f>IF(AND(H262&gt;=0.008,H262&lt;0.01), "Add 50kcal", "")</f>
        <v/>
      </c>
      <c r="N262" s="13" t="str">
        <f>IF(H262&gt;=0.01, "Add 100kcal", "")</f>
        <v/>
      </c>
      <c r="O262" s="20"/>
      <c r="P262" s="5" t="str">
        <f>IF(O262&gt;0,P255+O262,"")</f>
        <v/>
      </c>
    </row>
    <row r="263" spans="1:16">
      <c r="A263" s="7">
        <f t="shared" si="4"/>
        <v>42409</v>
      </c>
      <c r="B263" s="27"/>
      <c r="C263" s="8"/>
      <c r="D263" s="9"/>
      <c r="E263" s="8"/>
      <c r="F263" s="8"/>
      <c r="G263" s="8"/>
      <c r="H263" s="32"/>
      <c r="I263" s="9"/>
      <c r="J263" s="9"/>
      <c r="K263" s="8"/>
      <c r="L263" s="9"/>
      <c r="M263" s="9"/>
      <c r="N263" s="9"/>
      <c r="O263" s="19"/>
      <c r="P263" s="10"/>
    </row>
    <row r="264" spans="1:16">
      <c r="A264" s="7">
        <f t="shared" si="4"/>
        <v>42410</v>
      </c>
      <c r="B264" s="27"/>
      <c r="C264" s="8"/>
      <c r="D264" s="9"/>
      <c r="E264" s="8"/>
      <c r="F264" s="8"/>
      <c r="G264" s="8"/>
      <c r="H264" s="32"/>
      <c r="I264" s="9"/>
      <c r="J264" s="9"/>
      <c r="K264" s="8"/>
      <c r="L264" s="9"/>
      <c r="M264" s="9"/>
      <c r="N264" s="9"/>
      <c r="O264" s="19"/>
      <c r="P264" s="10"/>
    </row>
    <row r="265" spans="1:16">
      <c r="A265" s="7">
        <f t="shared" si="4"/>
        <v>42411</v>
      </c>
      <c r="B265" s="27"/>
      <c r="C265" s="8"/>
      <c r="D265" s="9"/>
      <c r="E265" s="8"/>
      <c r="F265" s="8"/>
      <c r="G265" s="8"/>
      <c r="H265" s="32"/>
      <c r="I265" s="9"/>
      <c r="J265" s="9"/>
      <c r="K265" s="8"/>
      <c r="L265" s="9"/>
      <c r="M265" s="9"/>
      <c r="N265" s="9"/>
      <c r="O265" s="19"/>
      <c r="P265" s="10"/>
    </row>
    <row r="266" spans="1:16">
      <c r="A266" s="7">
        <f t="shared" si="4"/>
        <v>42412</v>
      </c>
      <c r="B266" s="27"/>
      <c r="C266" s="8"/>
      <c r="D266" s="9"/>
      <c r="E266" s="8"/>
      <c r="F266" s="8"/>
      <c r="G266" s="8"/>
      <c r="H266" s="32"/>
      <c r="I266" s="9"/>
      <c r="J266" s="9"/>
      <c r="K266" s="8"/>
      <c r="L266" s="9"/>
      <c r="M266" s="9"/>
      <c r="N266" s="9"/>
      <c r="O266" s="19"/>
      <c r="P266" s="10"/>
    </row>
    <row r="267" spans="1:16">
      <c r="A267" s="7">
        <f t="shared" si="4"/>
        <v>42413</v>
      </c>
      <c r="B267" s="27"/>
      <c r="C267" s="8"/>
      <c r="D267" s="9"/>
      <c r="E267" s="8"/>
      <c r="F267" s="8"/>
      <c r="G267" s="8"/>
      <c r="H267" s="32"/>
      <c r="I267" s="9"/>
      <c r="J267" s="9"/>
      <c r="K267" s="8"/>
      <c r="L267" s="9"/>
      <c r="M267" s="9"/>
      <c r="N267" s="9"/>
      <c r="O267" s="19"/>
      <c r="P267" s="10"/>
    </row>
    <row r="268" spans="1:16">
      <c r="A268" s="7">
        <f t="shared" si="4"/>
        <v>42414</v>
      </c>
      <c r="B268" s="27"/>
      <c r="C268" s="8"/>
      <c r="D268" s="9"/>
      <c r="E268" s="8"/>
      <c r="F268" s="8"/>
      <c r="G268" s="8"/>
      <c r="H268" s="32"/>
      <c r="I268" s="9"/>
      <c r="J268" s="9"/>
      <c r="K268" s="8"/>
      <c r="L268" s="9"/>
      <c r="M268" s="9"/>
      <c r="N268" s="9"/>
      <c r="O268" s="19"/>
      <c r="P268" s="10"/>
    </row>
    <row r="269" spans="1:16">
      <c r="A269" s="7">
        <f t="shared" si="4"/>
        <v>42415</v>
      </c>
      <c r="B269" s="27"/>
      <c r="C269" s="27"/>
      <c r="D269" s="21"/>
      <c r="E269" s="27"/>
      <c r="F269" s="29">
        <f>IFERROR(IF(INPUTS!B270="Male", 86.01*LOG(C269-D269)-70.041*LOG(INPUTS!B$7)+30.3, 163.205*LOG('BULKING TRACKER'!C269+'BULKING TRACKER'!E269-'BULKING TRACKER'!D269)-97.684*LOG(INPUTS!B$7)-104.912),0)</f>
        <v>0</v>
      </c>
      <c r="G269" s="11" t="str">
        <f>IF(B269&gt;0, AVERAGE(B263:B269), " ")</f>
        <v xml:space="preserve"> </v>
      </c>
      <c r="H269" s="30">
        <f>IFERROR(IF(B269&gt;0, (G262-G269)/G262,0.007), 0)</f>
        <v>7.0000000000000001E-3</v>
      </c>
      <c r="I269" s="13" t="str">
        <f>IF(H269&lt;0, "Cut 200kcal", "")</f>
        <v/>
      </c>
      <c r="J269" s="13" t="str">
        <f>IF(AND(H269&lt;0.005, H269&gt;=0), "Cut 100kcal", "")</f>
        <v/>
      </c>
      <c r="K269" s="13" t="str">
        <f>IF(AND(H269&lt;0.006, H269&gt;=0.005), "Cut 50kcal", "")</f>
        <v/>
      </c>
      <c r="L269" s="13" t="str">
        <f>IF(AND(H269&lt;0.008, H269&gt;=0.006), "Remain Constant", "")</f>
        <v>Remain Constant</v>
      </c>
      <c r="M269" s="13" t="str">
        <f>IF(AND(H269&gt;=0.008,H269&lt;0.01), "Add 50kcal", "")</f>
        <v/>
      </c>
      <c r="N269" s="13" t="str">
        <f>IF(H269&gt;=0.01, "Add 100kcal", "")</f>
        <v/>
      </c>
      <c r="O269" s="20"/>
      <c r="P269" s="5" t="str">
        <f>IF(O269&gt;0,P262+O269,"")</f>
        <v/>
      </c>
    </row>
    <row r="270" spans="1:16">
      <c r="A270" s="7">
        <f t="shared" si="4"/>
        <v>42416</v>
      </c>
      <c r="B270" s="27"/>
      <c r="C270" s="8"/>
      <c r="D270" s="9"/>
      <c r="E270" s="8"/>
      <c r="F270" s="8"/>
      <c r="G270" s="8"/>
      <c r="H270" s="32"/>
      <c r="I270" s="9"/>
      <c r="J270" s="9"/>
      <c r="K270" s="8"/>
      <c r="L270" s="9"/>
      <c r="M270" s="9"/>
      <c r="N270" s="9"/>
      <c r="O270" s="19"/>
      <c r="P270" s="10"/>
    </row>
    <row r="271" spans="1:16">
      <c r="A271" s="7">
        <f t="shared" si="4"/>
        <v>42417</v>
      </c>
      <c r="B271" s="27"/>
      <c r="C271" s="8"/>
      <c r="D271" s="9"/>
      <c r="E271" s="8"/>
      <c r="F271" s="8"/>
      <c r="G271" s="8"/>
      <c r="H271" s="32"/>
      <c r="I271" s="9"/>
      <c r="J271" s="9"/>
      <c r="K271" s="8"/>
      <c r="L271" s="9"/>
      <c r="M271" s="9"/>
      <c r="N271" s="9"/>
      <c r="O271" s="19"/>
      <c r="P271" s="10"/>
    </row>
    <row r="272" spans="1:16">
      <c r="A272" s="7">
        <f t="shared" si="4"/>
        <v>42418</v>
      </c>
      <c r="B272" s="27"/>
      <c r="C272" s="8"/>
      <c r="D272" s="9"/>
      <c r="E272" s="8"/>
      <c r="F272" s="8"/>
      <c r="G272" s="8"/>
      <c r="H272" s="32"/>
      <c r="I272" s="9"/>
      <c r="J272" s="9"/>
      <c r="K272" s="8"/>
      <c r="L272" s="9"/>
      <c r="M272" s="9"/>
      <c r="N272" s="9"/>
      <c r="O272" s="19"/>
      <c r="P272" s="10"/>
    </row>
    <row r="273" spans="1:16">
      <c r="A273" s="7">
        <f t="shared" si="4"/>
        <v>42419</v>
      </c>
      <c r="B273" s="27"/>
      <c r="C273" s="8"/>
      <c r="D273" s="9"/>
      <c r="E273" s="8"/>
      <c r="F273" s="8"/>
      <c r="G273" s="8"/>
      <c r="H273" s="32"/>
      <c r="I273" s="9"/>
      <c r="J273" s="9"/>
      <c r="K273" s="8"/>
      <c r="L273" s="9"/>
      <c r="M273" s="9"/>
      <c r="N273" s="9"/>
      <c r="O273" s="19"/>
      <c r="P273" s="10"/>
    </row>
    <row r="274" spans="1:16">
      <c r="A274" s="7">
        <f t="shared" si="4"/>
        <v>42420</v>
      </c>
      <c r="B274" s="27"/>
      <c r="C274" s="8"/>
      <c r="D274" s="9"/>
      <c r="E274" s="8"/>
      <c r="F274" s="8"/>
      <c r="G274" s="8"/>
      <c r="H274" s="32"/>
      <c r="I274" s="9"/>
      <c r="J274" s="9"/>
      <c r="K274" s="8"/>
      <c r="L274" s="9"/>
      <c r="M274" s="9"/>
      <c r="N274" s="9"/>
      <c r="O274" s="19"/>
      <c r="P274" s="10"/>
    </row>
    <row r="275" spans="1:16">
      <c r="A275" s="7">
        <f t="shared" si="4"/>
        <v>42421</v>
      </c>
      <c r="B275" s="27"/>
      <c r="C275" s="8"/>
      <c r="D275" s="9"/>
      <c r="E275" s="8"/>
      <c r="F275" s="8"/>
      <c r="G275" s="8"/>
      <c r="H275" s="32"/>
      <c r="I275" s="9"/>
      <c r="J275" s="9"/>
      <c r="K275" s="8"/>
      <c r="L275" s="9"/>
      <c r="M275" s="9"/>
      <c r="N275" s="9"/>
      <c r="O275" s="19"/>
      <c r="P275" s="10"/>
    </row>
    <row r="276" spans="1:16">
      <c r="A276" s="7">
        <f t="shared" si="4"/>
        <v>42422</v>
      </c>
      <c r="B276" s="27"/>
      <c r="C276" s="27"/>
      <c r="D276" s="21"/>
      <c r="E276" s="27"/>
      <c r="F276" s="29">
        <f>IFERROR(IF(INPUTS!B277="Male", 86.01*LOG(C276-D276)-70.041*LOG(INPUTS!B$7)+30.3, 163.205*LOG('BULKING TRACKER'!C276+'BULKING TRACKER'!E276-'BULKING TRACKER'!D276)-97.684*LOG(INPUTS!B$7)-104.912),0)</f>
        <v>0</v>
      </c>
      <c r="G276" s="11" t="str">
        <f>IF(B276&gt;0, AVERAGE(B270:B276), " ")</f>
        <v xml:space="preserve"> </v>
      </c>
      <c r="H276" s="30">
        <f>IFERROR(IF(B276&gt;0, (G269-G276)/G269,0.007), 0)</f>
        <v>7.0000000000000001E-3</v>
      </c>
      <c r="I276" s="13" t="str">
        <f>IF(H276&lt;0, "Cut 200kcal", "")</f>
        <v/>
      </c>
      <c r="J276" s="13" t="str">
        <f>IF(AND(H276&lt;0.005, H276&gt;=0), "Cut 100kcal", "")</f>
        <v/>
      </c>
      <c r="K276" s="13" t="str">
        <f>IF(AND(H276&lt;0.006, H276&gt;=0.005), "Cut 50kcal", "")</f>
        <v/>
      </c>
      <c r="L276" s="13" t="str">
        <f>IF(AND(H276&lt;0.008, H276&gt;=0.006), "Remain Constant", "")</f>
        <v>Remain Constant</v>
      </c>
      <c r="M276" s="13" t="str">
        <f>IF(AND(H276&gt;=0.008,H276&lt;0.01), "Add 50kcal", "")</f>
        <v/>
      </c>
      <c r="N276" s="13" t="str">
        <f>IF(H276&gt;=0.01, "Add 100kcal", "")</f>
        <v/>
      </c>
      <c r="O276" s="20"/>
      <c r="P276" s="5" t="str">
        <f>IF(O276&gt;0,P269+O276,"")</f>
        <v/>
      </c>
    </row>
    <row r="277" spans="1:16">
      <c r="A277" s="7">
        <f t="shared" si="4"/>
        <v>42423</v>
      </c>
      <c r="B277" s="27"/>
      <c r="C277" s="8"/>
      <c r="D277" s="9"/>
      <c r="E277" s="8"/>
      <c r="F277" s="8"/>
      <c r="G277" s="8"/>
      <c r="H277" s="32"/>
      <c r="I277" s="9"/>
      <c r="J277" s="9"/>
      <c r="K277" s="8"/>
      <c r="L277" s="9"/>
      <c r="M277" s="9"/>
      <c r="N277" s="9"/>
      <c r="O277" s="19"/>
      <c r="P277" s="10"/>
    </row>
    <row r="278" spans="1:16">
      <c r="A278" s="7">
        <f t="shared" si="4"/>
        <v>42424</v>
      </c>
      <c r="B278" s="27"/>
      <c r="C278" s="8"/>
      <c r="D278" s="9"/>
      <c r="E278" s="8"/>
      <c r="F278" s="8"/>
      <c r="G278" s="8"/>
      <c r="H278" s="32"/>
      <c r="I278" s="9"/>
      <c r="J278" s="9"/>
      <c r="K278" s="8"/>
      <c r="L278" s="9"/>
      <c r="M278" s="9"/>
      <c r="N278" s="9"/>
      <c r="O278" s="19"/>
      <c r="P278" s="10"/>
    </row>
    <row r="279" spans="1:16">
      <c r="A279" s="7">
        <f t="shared" si="4"/>
        <v>42425</v>
      </c>
      <c r="B279" s="27"/>
      <c r="C279" s="8"/>
      <c r="D279" s="9"/>
      <c r="E279" s="8"/>
      <c r="F279" s="8"/>
      <c r="G279" s="8"/>
      <c r="H279" s="32"/>
      <c r="I279" s="9"/>
      <c r="J279" s="9"/>
      <c r="K279" s="8"/>
      <c r="L279" s="9"/>
      <c r="M279" s="9"/>
      <c r="N279" s="9"/>
      <c r="O279" s="19"/>
      <c r="P279" s="10"/>
    </row>
    <row r="280" spans="1:16">
      <c r="A280" s="7">
        <f t="shared" si="4"/>
        <v>42426</v>
      </c>
      <c r="B280" s="27"/>
      <c r="C280" s="8"/>
      <c r="D280" s="9"/>
      <c r="E280" s="8"/>
      <c r="F280" s="8"/>
      <c r="G280" s="8"/>
      <c r="H280" s="32"/>
      <c r="I280" s="9"/>
      <c r="J280" s="9"/>
      <c r="K280" s="8"/>
      <c r="L280" s="9"/>
      <c r="M280" s="9"/>
      <c r="N280" s="9"/>
      <c r="O280" s="19"/>
      <c r="P280" s="10"/>
    </row>
    <row r="281" spans="1:16">
      <c r="A281" s="7">
        <f t="shared" si="4"/>
        <v>42427</v>
      </c>
      <c r="B281" s="27"/>
      <c r="C281" s="8"/>
      <c r="D281" s="9"/>
      <c r="E281" s="8"/>
      <c r="F281" s="8"/>
      <c r="G281" s="8"/>
      <c r="H281" s="32"/>
      <c r="I281" s="9"/>
      <c r="J281" s="9"/>
      <c r="K281" s="8"/>
      <c r="L281" s="9"/>
      <c r="M281" s="9"/>
      <c r="N281" s="9"/>
      <c r="O281" s="19"/>
      <c r="P281" s="10"/>
    </row>
    <row r="282" spans="1:16">
      <c r="A282" s="7">
        <f t="shared" si="4"/>
        <v>42428</v>
      </c>
      <c r="B282" s="27"/>
      <c r="C282" s="8"/>
      <c r="D282" s="9"/>
      <c r="E282" s="8"/>
      <c r="F282" s="8"/>
      <c r="G282" s="8"/>
      <c r="H282" s="32"/>
      <c r="I282" s="9"/>
      <c r="J282" s="9"/>
      <c r="K282" s="8"/>
      <c r="L282" s="9"/>
      <c r="M282" s="9"/>
      <c r="N282" s="9"/>
      <c r="O282" s="19"/>
      <c r="P282" s="10"/>
    </row>
    <row r="283" spans="1:16">
      <c r="A283" s="7">
        <f t="shared" si="4"/>
        <v>42429</v>
      </c>
      <c r="B283" s="27"/>
      <c r="C283" s="27"/>
      <c r="D283" s="21"/>
      <c r="E283" s="27"/>
      <c r="F283" s="29">
        <f>IFERROR(IF(INPUTS!B284="Male", 86.01*LOG(C283-D283)-70.041*LOG(INPUTS!B$7)+30.3, 163.205*LOG('BULKING TRACKER'!C283+'BULKING TRACKER'!E283-'BULKING TRACKER'!D283)-97.684*LOG(INPUTS!B$7)-104.912),0)</f>
        <v>0</v>
      </c>
      <c r="G283" s="11" t="str">
        <f>IF(B283&gt;0, AVERAGE(B277:B283), " ")</f>
        <v xml:space="preserve"> </v>
      </c>
      <c r="H283" s="30">
        <f>IFERROR(IF(B283&gt;0, (G276-G283)/G276,0.007), 0)</f>
        <v>7.0000000000000001E-3</v>
      </c>
      <c r="I283" s="13" t="str">
        <f>IF(H283&lt;0, "Cut 200kcal", "")</f>
        <v/>
      </c>
      <c r="J283" s="13" t="str">
        <f>IF(AND(H283&lt;0.005, H283&gt;=0), "Cut 100kcal", "")</f>
        <v/>
      </c>
      <c r="K283" s="13" t="str">
        <f>IF(AND(H283&lt;0.006, H283&gt;=0.005), "Cut 50kcal", "")</f>
        <v/>
      </c>
      <c r="L283" s="13" t="str">
        <f>IF(AND(H283&lt;0.008, H283&gt;=0.006), "Remain Constant", "")</f>
        <v>Remain Constant</v>
      </c>
      <c r="M283" s="13" t="str">
        <f>IF(AND(H283&gt;=0.008,H283&lt;0.01), "Add 50kcal", "")</f>
        <v/>
      </c>
      <c r="N283" s="13" t="str">
        <f>IF(H283&gt;=0.01, "Add 100kcal", "")</f>
        <v/>
      </c>
      <c r="O283" s="20"/>
      <c r="P283" s="5" t="str">
        <f>IF(O283&gt;0,P276+O283,"")</f>
        <v/>
      </c>
    </row>
    <row r="284" spans="1:16">
      <c r="A284" s="7">
        <f t="shared" si="4"/>
        <v>42430</v>
      </c>
      <c r="B284" s="27"/>
      <c r="C284" s="8"/>
      <c r="D284" s="9"/>
      <c r="E284" s="8"/>
      <c r="F284" s="8"/>
      <c r="G284" s="8"/>
      <c r="H284" s="32"/>
      <c r="I284" s="9"/>
      <c r="J284" s="9"/>
      <c r="K284" s="8"/>
      <c r="L284" s="9"/>
      <c r="M284" s="9"/>
      <c r="N284" s="9"/>
      <c r="O284" s="19"/>
      <c r="P284" s="10"/>
    </row>
    <row r="285" spans="1:16">
      <c r="A285" s="7">
        <f t="shared" si="4"/>
        <v>42431</v>
      </c>
      <c r="B285" s="27"/>
      <c r="C285" s="8"/>
      <c r="D285" s="9"/>
      <c r="E285" s="8"/>
      <c r="F285" s="8"/>
      <c r="G285" s="8"/>
      <c r="H285" s="32"/>
      <c r="I285" s="9"/>
      <c r="J285" s="9"/>
      <c r="K285" s="8"/>
      <c r="L285" s="9"/>
      <c r="M285" s="9"/>
      <c r="N285" s="9"/>
      <c r="O285" s="19"/>
      <c r="P285" s="10"/>
    </row>
    <row r="286" spans="1:16">
      <c r="A286" s="7">
        <f t="shared" si="4"/>
        <v>42432</v>
      </c>
      <c r="B286" s="27"/>
      <c r="C286" s="8"/>
      <c r="D286" s="9"/>
      <c r="E286" s="8"/>
      <c r="F286" s="8"/>
      <c r="G286" s="8"/>
      <c r="H286" s="32"/>
      <c r="I286" s="9"/>
      <c r="J286" s="9"/>
      <c r="K286" s="8"/>
      <c r="L286" s="9"/>
      <c r="M286" s="9"/>
      <c r="N286" s="9"/>
      <c r="O286" s="19"/>
      <c r="P286" s="10"/>
    </row>
    <row r="287" spans="1:16">
      <c r="A287" s="7">
        <f t="shared" si="4"/>
        <v>42433</v>
      </c>
      <c r="B287" s="27"/>
      <c r="C287" s="8"/>
      <c r="D287" s="9"/>
      <c r="E287" s="8"/>
      <c r="F287" s="8"/>
      <c r="G287" s="8"/>
      <c r="H287" s="32"/>
      <c r="I287" s="9"/>
      <c r="J287" s="9"/>
      <c r="K287" s="8"/>
      <c r="L287" s="9"/>
      <c r="M287" s="9"/>
      <c r="N287" s="9"/>
      <c r="O287" s="19"/>
      <c r="P287" s="10"/>
    </row>
    <row r="288" spans="1:16">
      <c r="A288" s="7">
        <f t="shared" si="4"/>
        <v>42434</v>
      </c>
      <c r="B288" s="27"/>
      <c r="C288" s="8"/>
      <c r="D288" s="9"/>
      <c r="E288" s="8"/>
      <c r="F288" s="8"/>
      <c r="G288" s="8"/>
      <c r="H288" s="32"/>
      <c r="I288" s="9"/>
      <c r="J288" s="9"/>
      <c r="K288" s="8"/>
      <c r="L288" s="9"/>
      <c r="M288" s="9"/>
      <c r="N288" s="9"/>
      <c r="O288" s="19"/>
      <c r="P288" s="10"/>
    </row>
    <row r="289" spans="1:16">
      <c r="A289" s="7">
        <f t="shared" si="4"/>
        <v>42435</v>
      </c>
      <c r="B289" s="27"/>
      <c r="C289" s="8"/>
      <c r="D289" s="9"/>
      <c r="E289" s="8"/>
      <c r="F289" s="8"/>
      <c r="G289" s="8"/>
      <c r="H289" s="32"/>
      <c r="I289" s="9"/>
      <c r="J289" s="9"/>
      <c r="K289" s="8"/>
      <c r="L289" s="9"/>
      <c r="M289" s="9"/>
      <c r="N289" s="9"/>
      <c r="O289" s="19"/>
      <c r="P289" s="10"/>
    </row>
    <row r="290" spans="1:16">
      <c r="A290" s="7">
        <f t="shared" si="4"/>
        <v>42436</v>
      </c>
      <c r="B290" s="27"/>
      <c r="C290" s="27"/>
      <c r="D290" s="21"/>
      <c r="E290" s="27"/>
      <c r="F290" s="29">
        <f>IFERROR(IF(INPUTS!B291="Male", 86.01*LOG(C290-D290)-70.041*LOG(INPUTS!B$7)+30.3, 163.205*LOG('BULKING TRACKER'!C290+'BULKING TRACKER'!E290-'BULKING TRACKER'!D290)-97.684*LOG(INPUTS!B$7)-104.912),0)</f>
        <v>0</v>
      </c>
      <c r="G290" s="11" t="str">
        <f>IF(B290&gt;0, AVERAGE(B284:B290), " ")</f>
        <v xml:space="preserve"> </v>
      </c>
      <c r="H290" s="30">
        <f>IFERROR(IF(B290&gt;0, (G283-G290)/G283,0.007), 0)</f>
        <v>7.0000000000000001E-3</v>
      </c>
      <c r="I290" s="13" t="str">
        <f>IF(H290&lt;0, "Cut 200kcal", "")</f>
        <v/>
      </c>
      <c r="J290" s="13" t="str">
        <f>IF(AND(H290&lt;0.005, H290&gt;=0), "Cut 100kcal", "")</f>
        <v/>
      </c>
      <c r="K290" s="13" t="str">
        <f>IF(AND(H290&lt;0.006, H290&gt;=0.005), "Cut 50kcal", "")</f>
        <v/>
      </c>
      <c r="L290" s="13" t="str">
        <f>IF(AND(H290&lt;0.008, H290&gt;=0.006), "Remain Constant", "")</f>
        <v>Remain Constant</v>
      </c>
      <c r="M290" s="13" t="str">
        <f>IF(AND(H290&gt;=0.008,H290&lt;0.01), "Add 50kcal", "")</f>
        <v/>
      </c>
      <c r="N290" s="13" t="str">
        <f>IF(H290&gt;=0.01, "Add 100kcal", "")</f>
        <v/>
      </c>
      <c r="O290" s="20"/>
      <c r="P290" s="5" t="str">
        <f>IF(O290&gt;0,P283+O290,"")</f>
        <v/>
      </c>
    </row>
    <row r="291" spans="1:16">
      <c r="A291" s="7">
        <f t="shared" si="4"/>
        <v>42437</v>
      </c>
      <c r="B291" s="27"/>
      <c r="C291" s="8"/>
      <c r="D291" s="9"/>
      <c r="E291" s="8"/>
      <c r="F291" s="8"/>
      <c r="G291" s="8"/>
      <c r="H291" s="32"/>
      <c r="I291" s="9"/>
      <c r="J291" s="9"/>
      <c r="K291" s="8"/>
      <c r="L291" s="9"/>
      <c r="M291" s="9"/>
      <c r="N291" s="9"/>
      <c r="O291" s="19"/>
      <c r="P291" s="10"/>
    </row>
    <row r="292" spans="1:16">
      <c r="A292" s="7">
        <f t="shared" si="4"/>
        <v>42438</v>
      </c>
      <c r="B292" s="27"/>
      <c r="C292" s="8"/>
      <c r="D292" s="9"/>
      <c r="E292" s="8"/>
      <c r="F292" s="8"/>
      <c r="G292" s="8"/>
      <c r="H292" s="32"/>
      <c r="I292" s="9"/>
      <c r="J292" s="9"/>
      <c r="K292" s="8"/>
      <c r="L292" s="9"/>
      <c r="M292" s="9"/>
      <c r="N292" s="9"/>
      <c r="O292" s="19"/>
      <c r="P292" s="10"/>
    </row>
    <row r="293" spans="1:16">
      <c r="A293" s="7">
        <f t="shared" si="4"/>
        <v>42439</v>
      </c>
      <c r="B293" s="27"/>
      <c r="C293" s="8"/>
      <c r="D293" s="9"/>
      <c r="E293" s="8"/>
      <c r="F293" s="8"/>
      <c r="G293" s="8"/>
      <c r="H293" s="32"/>
      <c r="I293" s="9"/>
      <c r="J293" s="9"/>
      <c r="K293" s="8"/>
      <c r="L293" s="9"/>
      <c r="M293" s="9"/>
      <c r="N293" s="9"/>
      <c r="O293" s="19"/>
      <c r="P293" s="10"/>
    </row>
    <row r="294" spans="1:16">
      <c r="A294" s="7">
        <f t="shared" si="4"/>
        <v>42440</v>
      </c>
      <c r="B294" s="27"/>
      <c r="C294" s="8"/>
      <c r="D294" s="9"/>
      <c r="E294" s="8"/>
      <c r="F294" s="8"/>
      <c r="G294" s="8"/>
      <c r="H294" s="32"/>
      <c r="I294" s="9"/>
      <c r="J294" s="9"/>
      <c r="K294" s="8"/>
      <c r="L294" s="9"/>
      <c r="M294" s="9"/>
      <c r="N294" s="9"/>
      <c r="O294" s="19"/>
      <c r="P294" s="10"/>
    </row>
    <row r="295" spans="1:16">
      <c r="A295" s="7">
        <f t="shared" si="4"/>
        <v>42441</v>
      </c>
      <c r="B295" s="27"/>
      <c r="C295" s="8"/>
      <c r="D295" s="9"/>
      <c r="E295" s="8"/>
      <c r="F295" s="8"/>
      <c r="G295" s="8"/>
      <c r="H295" s="32"/>
      <c r="I295" s="9"/>
      <c r="J295" s="9"/>
      <c r="K295" s="8"/>
      <c r="L295" s="9"/>
      <c r="M295" s="9"/>
      <c r="N295" s="9"/>
      <c r="O295" s="19"/>
      <c r="P295" s="10"/>
    </row>
    <row r="296" spans="1:16">
      <c r="A296" s="7">
        <f t="shared" si="4"/>
        <v>42442</v>
      </c>
      <c r="B296" s="27"/>
      <c r="C296" s="8"/>
      <c r="D296" s="9"/>
      <c r="E296" s="8"/>
      <c r="F296" s="8"/>
      <c r="G296" s="8"/>
      <c r="H296" s="32"/>
      <c r="I296" s="9"/>
      <c r="J296" s="9"/>
      <c r="K296" s="8"/>
      <c r="L296" s="9"/>
      <c r="M296" s="9"/>
      <c r="N296" s="9"/>
      <c r="O296" s="19"/>
      <c r="P296" s="10"/>
    </row>
    <row r="297" spans="1:16">
      <c r="A297" s="7">
        <f t="shared" si="4"/>
        <v>42443</v>
      </c>
      <c r="B297" s="27"/>
      <c r="C297" s="27"/>
      <c r="D297" s="21"/>
      <c r="E297" s="27"/>
      <c r="F297" s="29">
        <f>IFERROR(IF(INPUTS!B298="Male", 86.01*LOG(C297-D297)-70.041*LOG(INPUTS!B$7)+30.3, 163.205*LOG('BULKING TRACKER'!C297+'BULKING TRACKER'!E297-'BULKING TRACKER'!D297)-97.684*LOG(INPUTS!B$7)-104.912),0)</f>
        <v>0</v>
      </c>
      <c r="G297" s="11" t="str">
        <f>IF(B297&gt;0, AVERAGE(B291:B297), " ")</f>
        <v xml:space="preserve"> </v>
      </c>
      <c r="H297" s="30">
        <f>IFERROR(IF(B297&gt;0, (G290-G297)/G290,0.007), 0)</f>
        <v>7.0000000000000001E-3</v>
      </c>
      <c r="I297" s="13" t="str">
        <f>IF(H297&lt;0, "Cut 200kcal", "")</f>
        <v/>
      </c>
      <c r="J297" s="13" t="str">
        <f>IF(AND(H297&lt;0.005, H297&gt;=0), "Cut 100kcal", "")</f>
        <v/>
      </c>
      <c r="K297" s="13" t="str">
        <f>IF(AND(H297&lt;0.006, H297&gt;=0.005), "Cut 50kcal", "")</f>
        <v/>
      </c>
      <c r="L297" s="13" t="str">
        <f>IF(AND(H297&lt;0.008, H297&gt;=0.006), "Remain Constant", "")</f>
        <v>Remain Constant</v>
      </c>
      <c r="M297" s="13" t="str">
        <f>IF(AND(H297&gt;=0.008,H297&lt;0.01), "Add 50kcal", "")</f>
        <v/>
      </c>
      <c r="N297" s="13" t="str">
        <f>IF(H297&gt;=0.01, "Add 100kcal", "")</f>
        <v/>
      </c>
      <c r="O297" s="20"/>
      <c r="P297" s="5" t="str">
        <f>IF(O297&gt;0,P290+O297,"")</f>
        <v/>
      </c>
    </row>
    <row r="298" spans="1:16">
      <c r="A298" s="7">
        <f t="shared" si="4"/>
        <v>42444</v>
      </c>
      <c r="B298" s="27"/>
      <c r="C298" s="8"/>
      <c r="D298" s="9"/>
      <c r="E298" s="8"/>
      <c r="F298" s="8"/>
      <c r="G298" s="8"/>
      <c r="H298" s="32"/>
      <c r="I298" s="9"/>
      <c r="J298" s="9"/>
      <c r="K298" s="8"/>
      <c r="L298" s="9"/>
      <c r="M298" s="9"/>
      <c r="N298" s="9"/>
      <c r="O298" s="19"/>
      <c r="P298" s="10"/>
    </row>
    <row r="299" spans="1:16">
      <c r="A299" s="7">
        <f t="shared" si="4"/>
        <v>42445</v>
      </c>
      <c r="B299" s="27"/>
      <c r="C299" s="8"/>
      <c r="D299" s="9"/>
      <c r="E299" s="8"/>
      <c r="F299" s="8"/>
      <c r="G299" s="8"/>
      <c r="H299" s="32"/>
      <c r="I299" s="9"/>
      <c r="J299" s="9"/>
      <c r="K299" s="8"/>
      <c r="L299" s="9"/>
      <c r="M299" s="9"/>
      <c r="N299" s="9"/>
      <c r="O299" s="19"/>
      <c r="P299" s="10"/>
    </row>
    <row r="300" spans="1:16">
      <c r="A300" s="7">
        <f t="shared" si="4"/>
        <v>42446</v>
      </c>
      <c r="B300" s="27"/>
      <c r="C300" s="8"/>
      <c r="D300" s="9"/>
      <c r="E300" s="8"/>
      <c r="F300" s="8"/>
      <c r="G300" s="8"/>
      <c r="H300" s="32"/>
      <c r="I300" s="9"/>
      <c r="J300" s="9"/>
      <c r="K300" s="8"/>
      <c r="L300" s="9"/>
      <c r="M300" s="9"/>
      <c r="N300" s="9"/>
      <c r="O300" s="19"/>
      <c r="P300" s="10"/>
    </row>
    <row r="301" spans="1:16">
      <c r="A301" s="7">
        <f t="shared" si="4"/>
        <v>42447</v>
      </c>
      <c r="B301" s="27"/>
      <c r="C301" s="8"/>
      <c r="D301" s="9"/>
      <c r="E301" s="8"/>
      <c r="F301" s="8"/>
      <c r="G301" s="8"/>
      <c r="H301" s="32"/>
      <c r="I301" s="9"/>
      <c r="J301" s="9"/>
      <c r="K301" s="8"/>
      <c r="L301" s="9"/>
      <c r="M301" s="9"/>
      <c r="N301" s="9"/>
      <c r="O301" s="19"/>
      <c r="P301" s="10"/>
    </row>
    <row r="302" spans="1:16">
      <c r="A302" s="7">
        <f t="shared" si="4"/>
        <v>42448</v>
      </c>
      <c r="B302" s="27"/>
      <c r="C302" s="8"/>
      <c r="D302" s="9"/>
      <c r="E302" s="8"/>
      <c r="F302" s="8"/>
      <c r="G302" s="8"/>
      <c r="H302" s="32"/>
      <c r="I302" s="9"/>
      <c r="J302" s="9"/>
      <c r="K302" s="8"/>
      <c r="L302" s="9"/>
      <c r="M302" s="9"/>
      <c r="N302" s="9"/>
      <c r="O302" s="19"/>
      <c r="P302" s="10"/>
    </row>
    <row r="303" spans="1:16">
      <c r="A303" s="7">
        <f t="shared" si="4"/>
        <v>42449</v>
      </c>
      <c r="B303" s="27"/>
      <c r="C303" s="8"/>
      <c r="D303" s="9"/>
      <c r="E303" s="8"/>
      <c r="F303" s="8"/>
      <c r="G303" s="8"/>
      <c r="H303" s="32"/>
      <c r="I303" s="9"/>
      <c r="J303" s="9"/>
      <c r="K303" s="8"/>
      <c r="L303" s="9"/>
      <c r="M303" s="9"/>
      <c r="N303" s="9"/>
      <c r="O303" s="19"/>
      <c r="P303" s="10"/>
    </row>
    <row r="304" spans="1:16">
      <c r="A304" s="7">
        <f t="shared" si="4"/>
        <v>42450</v>
      </c>
      <c r="B304" s="27"/>
      <c r="C304" s="27"/>
      <c r="D304" s="21"/>
      <c r="E304" s="27"/>
      <c r="F304" s="29">
        <f>IFERROR(IF(INPUTS!B305="Male", 86.01*LOG(C304-D304)-70.041*LOG(INPUTS!B$7)+30.3, 163.205*LOG('BULKING TRACKER'!C304+'BULKING TRACKER'!E304-'BULKING TRACKER'!D304)-97.684*LOG(INPUTS!B$7)-104.912),0)</f>
        <v>0</v>
      </c>
      <c r="G304" s="11" t="str">
        <f>IF(B304&gt;0, AVERAGE(B298:B304), " ")</f>
        <v xml:space="preserve"> </v>
      </c>
      <c r="H304" s="30">
        <f>IFERROR(IF(B304&gt;0, (G297-G304)/G297,0.007), 0)</f>
        <v>7.0000000000000001E-3</v>
      </c>
      <c r="I304" s="13" t="str">
        <f>IF(H304&lt;0, "Cut 200kcal", "")</f>
        <v/>
      </c>
      <c r="J304" s="13" t="str">
        <f>IF(AND(H304&lt;0.005, H304&gt;=0), "Cut 100kcal", "")</f>
        <v/>
      </c>
      <c r="K304" s="13" t="str">
        <f>IF(AND(H304&lt;0.006, H304&gt;=0.005), "Cut 50kcal", "")</f>
        <v/>
      </c>
      <c r="L304" s="13" t="str">
        <f>IF(AND(H304&lt;0.008, H304&gt;=0.006), "Remain Constant", "")</f>
        <v>Remain Constant</v>
      </c>
      <c r="M304" s="13" t="str">
        <f>IF(AND(H304&gt;=0.008,H304&lt;0.01), "Add 50kcal", "")</f>
        <v/>
      </c>
      <c r="N304" s="13" t="str">
        <f>IF(H304&gt;=0.01, "Add 100kcal", "")</f>
        <v/>
      </c>
      <c r="O304" s="20"/>
      <c r="P304" s="5" t="str">
        <f>IF(O304&gt;0,P297+O304,"")</f>
        <v/>
      </c>
    </row>
    <row r="305" spans="1:16">
      <c r="A305" s="7">
        <f t="shared" si="4"/>
        <v>42451</v>
      </c>
      <c r="B305" s="27"/>
      <c r="C305" s="8"/>
      <c r="D305" s="9"/>
      <c r="E305" s="8"/>
      <c r="F305" s="8"/>
      <c r="G305" s="8"/>
      <c r="H305" s="32"/>
      <c r="I305" s="9"/>
      <c r="J305" s="9"/>
      <c r="K305" s="8"/>
      <c r="L305" s="9"/>
      <c r="M305" s="9"/>
      <c r="N305" s="9"/>
      <c r="O305" s="19"/>
      <c r="P305" s="10"/>
    </row>
    <row r="306" spans="1:16">
      <c r="A306" s="7">
        <f t="shared" si="4"/>
        <v>42452</v>
      </c>
      <c r="B306" s="27"/>
      <c r="C306" s="8"/>
      <c r="D306" s="9"/>
      <c r="E306" s="8"/>
      <c r="F306" s="8"/>
      <c r="G306" s="8"/>
      <c r="H306" s="32"/>
      <c r="I306" s="9"/>
      <c r="J306" s="9"/>
      <c r="K306" s="8"/>
      <c r="L306" s="9"/>
      <c r="M306" s="9"/>
      <c r="N306" s="9"/>
      <c r="O306" s="19"/>
      <c r="P306" s="10"/>
    </row>
    <row r="307" spans="1:16">
      <c r="A307" s="7">
        <f t="shared" si="4"/>
        <v>42453</v>
      </c>
      <c r="B307" s="27"/>
      <c r="C307" s="8"/>
      <c r="D307" s="9"/>
      <c r="E307" s="8"/>
      <c r="F307" s="8"/>
      <c r="G307" s="8"/>
      <c r="H307" s="32"/>
      <c r="I307" s="9"/>
      <c r="J307" s="9"/>
      <c r="K307" s="8"/>
      <c r="L307" s="9"/>
      <c r="M307" s="9"/>
      <c r="N307" s="9"/>
      <c r="O307" s="19"/>
      <c r="P307" s="10"/>
    </row>
    <row r="308" spans="1:16">
      <c r="A308" s="7">
        <f t="shared" si="4"/>
        <v>42454</v>
      </c>
      <c r="B308" s="27"/>
      <c r="C308" s="8"/>
      <c r="D308" s="9"/>
      <c r="E308" s="8"/>
      <c r="F308" s="8"/>
      <c r="G308" s="8"/>
      <c r="H308" s="32"/>
      <c r="I308" s="9"/>
      <c r="J308" s="9"/>
      <c r="K308" s="8"/>
      <c r="L308" s="9"/>
      <c r="M308" s="9"/>
      <c r="N308" s="9"/>
      <c r="O308" s="19"/>
      <c r="P308" s="10"/>
    </row>
    <row r="309" spans="1:16">
      <c r="A309" s="7">
        <f t="shared" si="4"/>
        <v>42455</v>
      </c>
      <c r="B309" s="27"/>
      <c r="C309" s="8"/>
      <c r="D309" s="9"/>
      <c r="E309" s="8"/>
      <c r="F309" s="8"/>
      <c r="G309" s="8"/>
      <c r="H309" s="32"/>
      <c r="I309" s="9"/>
      <c r="J309" s="9"/>
      <c r="K309" s="8"/>
      <c r="L309" s="9"/>
      <c r="M309" s="9"/>
      <c r="N309" s="9"/>
      <c r="O309" s="19"/>
      <c r="P309" s="10"/>
    </row>
    <row r="310" spans="1:16">
      <c r="A310" s="7">
        <f t="shared" si="4"/>
        <v>42456</v>
      </c>
      <c r="B310" s="27"/>
      <c r="C310" s="8"/>
      <c r="D310" s="9"/>
      <c r="E310" s="8"/>
      <c r="F310" s="8"/>
      <c r="G310" s="8"/>
      <c r="H310" s="32"/>
      <c r="I310" s="9"/>
      <c r="J310" s="9"/>
      <c r="K310" s="8"/>
      <c r="L310" s="9"/>
      <c r="M310" s="9"/>
      <c r="N310" s="9"/>
      <c r="O310" s="19"/>
      <c r="P310" s="10"/>
    </row>
    <row r="311" spans="1:16">
      <c r="A311" s="7">
        <f t="shared" si="4"/>
        <v>42457</v>
      </c>
      <c r="B311" s="27"/>
      <c r="C311" s="27"/>
      <c r="D311" s="21"/>
      <c r="E311" s="27"/>
      <c r="F311" s="29">
        <f>IFERROR(IF(INPUTS!B312="Male", 86.01*LOG(C311-D311)-70.041*LOG(INPUTS!B$7)+30.3, 163.205*LOG('BULKING TRACKER'!C311+'BULKING TRACKER'!E311-'BULKING TRACKER'!D311)-97.684*LOG(INPUTS!B$7)-104.912),0)</f>
        <v>0</v>
      </c>
      <c r="G311" s="11" t="str">
        <f>IF(B311&gt;0, AVERAGE(B305:B311), " ")</f>
        <v xml:space="preserve"> </v>
      </c>
      <c r="H311" s="30">
        <f>IFERROR(IF(B311&gt;0, (G304-G311)/G304,0.007), 0)</f>
        <v>7.0000000000000001E-3</v>
      </c>
      <c r="I311" s="13" t="str">
        <f>IF(H311&lt;0, "Cut 200kcal", "")</f>
        <v/>
      </c>
      <c r="J311" s="13" t="str">
        <f>IF(AND(H311&lt;0.005, H311&gt;=0), "Cut 100kcal", "")</f>
        <v/>
      </c>
      <c r="K311" s="13" t="str">
        <f>IF(AND(H311&lt;0.006, H311&gt;=0.005), "Cut 50kcal", "")</f>
        <v/>
      </c>
      <c r="L311" s="13" t="str">
        <f>IF(AND(H311&lt;0.008, H311&gt;=0.006), "Remain Constant", "")</f>
        <v>Remain Constant</v>
      </c>
      <c r="M311" s="13" t="str">
        <f>IF(AND(H311&gt;=0.008,H311&lt;0.01), "Add 50kcal", "")</f>
        <v/>
      </c>
      <c r="N311" s="13" t="str">
        <f>IF(H311&gt;=0.01, "Add 100kcal", "")</f>
        <v/>
      </c>
      <c r="O311" s="20"/>
      <c r="P311" s="5" t="str">
        <f>IF(O311&gt;0,P304+O311,"")</f>
        <v/>
      </c>
    </row>
    <row r="312" spans="1:16">
      <c r="A312" s="7">
        <f t="shared" si="4"/>
        <v>42458</v>
      </c>
      <c r="B312" s="27"/>
      <c r="C312" s="8"/>
      <c r="D312" s="9"/>
      <c r="E312" s="8"/>
      <c r="F312" s="8"/>
      <c r="G312" s="8"/>
      <c r="H312" s="32"/>
      <c r="I312" s="9"/>
      <c r="J312" s="9"/>
      <c r="K312" s="8"/>
      <c r="L312" s="9"/>
      <c r="M312" s="9"/>
      <c r="N312" s="9"/>
      <c r="O312" s="19"/>
      <c r="P312" s="10"/>
    </row>
    <row r="313" spans="1:16">
      <c r="A313" s="7">
        <f t="shared" si="4"/>
        <v>42459</v>
      </c>
      <c r="B313" s="27"/>
      <c r="C313" s="8"/>
      <c r="D313" s="9"/>
      <c r="E313" s="8"/>
      <c r="F313" s="8"/>
      <c r="G313" s="8"/>
      <c r="H313" s="32"/>
      <c r="I313" s="9"/>
      <c r="J313" s="9"/>
      <c r="K313" s="8"/>
      <c r="L313" s="9"/>
      <c r="M313" s="9"/>
      <c r="N313" s="9"/>
      <c r="O313" s="19"/>
      <c r="P313" s="10"/>
    </row>
    <row r="314" spans="1:16">
      <c r="A314" s="7">
        <f t="shared" si="4"/>
        <v>42460</v>
      </c>
      <c r="B314" s="27"/>
      <c r="C314" s="8"/>
      <c r="D314" s="9"/>
      <c r="E314" s="8"/>
      <c r="F314" s="8"/>
      <c r="G314" s="8"/>
      <c r="H314" s="32"/>
      <c r="I314" s="9"/>
      <c r="J314" s="9"/>
      <c r="K314" s="8"/>
      <c r="L314" s="9"/>
      <c r="M314" s="9"/>
      <c r="N314" s="9"/>
      <c r="O314" s="19"/>
      <c r="P314" s="10"/>
    </row>
    <row r="315" spans="1:16">
      <c r="A315" s="7">
        <f t="shared" si="4"/>
        <v>42461</v>
      </c>
      <c r="B315" s="27"/>
      <c r="C315" s="8"/>
      <c r="D315" s="9"/>
      <c r="E315" s="8"/>
      <c r="F315" s="8"/>
      <c r="G315" s="8"/>
      <c r="H315" s="32"/>
      <c r="I315" s="9"/>
      <c r="J315" s="9"/>
      <c r="K315" s="8"/>
      <c r="L315" s="9"/>
      <c r="M315" s="9"/>
      <c r="N315" s="9"/>
      <c r="O315" s="19"/>
      <c r="P315" s="10"/>
    </row>
    <row r="316" spans="1:16">
      <c r="A316" s="7">
        <f t="shared" si="4"/>
        <v>42462</v>
      </c>
      <c r="B316" s="27"/>
      <c r="C316" s="8"/>
      <c r="D316" s="9"/>
      <c r="E316" s="8"/>
      <c r="F316" s="8"/>
      <c r="G316" s="8"/>
      <c r="H316" s="32"/>
      <c r="I316" s="9"/>
      <c r="J316" s="9"/>
      <c r="K316" s="8"/>
      <c r="L316" s="9"/>
      <c r="M316" s="9"/>
      <c r="N316" s="9"/>
      <c r="O316" s="19"/>
      <c r="P316" s="10"/>
    </row>
    <row r="317" spans="1:16">
      <c r="A317" s="7">
        <f t="shared" si="4"/>
        <v>42463</v>
      </c>
      <c r="B317" s="27"/>
      <c r="C317" s="8"/>
      <c r="D317" s="9"/>
      <c r="E317" s="8"/>
      <c r="F317" s="8"/>
      <c r="G317" s="8"/>
      <c r="H317" s="32"/>
      <c r="I317" s="9"/>
      <c r="J317" s="9"/>
      <c r="K317" s="8"/>
      <c r="L317" s="9"/>
      <c r="M317" s="9"/>
      <c r="N317" s="9"/>
      <c r="O317" s="19"/>
      <c r="P317" s="10"/>
    </row>
    <row r="318" spans="1:16">
      <c r="A318" s="7">
        <f t="shared" si="4"/>
        <v>42464</v>
      </c>
      <c r="B318" s="27"/>
      <c r="C318" s="27"/>
      <c r="D318" s="21"/>
      <c r="E318" s="27"/>
      <c r="F318" s="29">
        <f>IFERROR(IF(INPUTS!B319="Male", 86.01*LOG(C318-D318)-70.041*LOG(INPUTS!B$7)+30.3, 163.205*LOG('BULKING TRACKER'!C318+'BULKING TRACKER'!E318-'BULKING TRACKER'!D318)-97.684*LOG(INPUTS!B$7)-104.912),0)</f>
        <v>0</v>
      </c>
      <c r="G318" s="11" t="str">
        <f>IF(B318&gt;0, AVERAGE(B312:B318), " ")</f>
        <v xml:space="preserve"> </v>
      </c>
      <c r="H318" s="30">
        <f>IFERROR(IF(B318&gt;0, (G311-G318)/G311,0.007), 0)</f>
        <v>7.0000000000000001E-3</v>
      </c>
      <c r="I318" s="13" t="str">
        <f>IF(H318&lt;0, "Cut 200kcal", "")</f>
        <v/>
      </c>
      <c r="J318" s="13" t="str">
        <f>IF(AND(H318&lt;0.005, H318&gt;=0), "Cut 100kcal", "")</f>
        <v/>
      </c>
      <c r="K318" s="13" t="str">
        <f>IF(AND(H318&lt;0.006, H318&gt;=0.005), "Cut 50kcal", "")</f>
        <v/>
      </c>
      <c r="L318" s="13" t="str">
        <f>IF(AND(H318&lt;0.008, H318&gt;=0.006), "Remain Constant", "")</f>
        <v>Remain Constant</v>
      </c>
      <c r="M318" s="13" t="str">
        <f>IF(AND(H318&gt;=0.008,H318&lt;0.01), "Add 50kcal", "")</f>
        <v/>
      </c>
      <c r="N318" s="13" t="str">
        <f>IF(H318&gt;=0.01, "Add 100kcal", "")</f>
        <v/>
      </c>
      <c r="O318" s="20"/>
      <c r="P318" s="5" t="str">
        <f>IF(O318&gt;0,P311+O318,"")</f>
        <v/>
      </c>
    </row>
    <row r="319" spans="1:16">
      <c r="A319" s="7">
        <f t="shared" si="4"/>
        <v>42465</v>
      </c>
      <c r="B319" s="27"/>
      <c r="C319" s="8"/>
      <c r="D319" s="9"/>
      <c r="E319" s="8"/>
      <c r="F319" s="8"/>
      <c r="G319" s="8"/>
      <c r="H319" s="32"/>
      <c r="I319" s="9"/>
      <c r="J319" s="9"/>
      <c r="K319" s="8"/>
      <c r="L319" s="9"/>
      <c r="M319" s="9"/>
      <c r="N319" s="9"/>
      <c r="O319" s="19"/>
      <c r="P319" s="10"/>
    </row>
    <row r="320" spans="1:16">
      <c r="A320" s="7">
        <f t="shared" si="4"/>
        <v>42466</v>
      </c>
      <c r="B320" s="27"/>
      <c r="C320" s="8"/>
      <c r="D320" s="9"/>
      <c r="E320" s="8"/>
      <c r="F320" s="8"/>
      <c r="G320" s="8"/>
      <c r="H320" s="32"/>
      <c r="I320" s="9"/>
      <c r="J320" s="9"/>
      <c r="K320" s="8"/>
      <c r="L320" s="9"/>
      <c r="M320" s="9"/>
      <c r="N320" s="9"/>
      <c r="O320" s="19"/>
      <c r="P320" s="10"/>
    </row>
    <row r="321" spans="1:16">
      <c r="A321" s="7">
        <f t="shared" si="4"/>
        <v>42467</v>
      </c>
      <c r="B321" s="27"/>
      <c r="C321" s="8"/>
      <c r="D321" s="9"/>
      <c r="E321" s="8"/>
      <c r="F321" s="8"/>
      <c r="G321" s="8"/>
      <c r="H321" s="32"/>
      <c r="I321" s="9"/>
      <c r="J321" s="9"/>
      <c r="K321" s="8"/>
      <c r="L321" s="9"/>
      <c r="M321" s="9"/>
      <c r="N321" s="9"/>
      <c r="O321" s="19"/>
      <c r="P321" s="10"/>
    </row>
    <row r="322" spans="1:16">
      <c r="A322" s="7">
        <f t="shared" si="4"/>
        <v>42468</v>
      </c>
      <c r="B322" s="27"/>
      <c r="C322" s="8"/>
      <c r="D322" s="9"/>
      <c r="E322" s="8"/>
      <c r="F322" s="8"/>
      <c r="G322" s="8"/>
      <c r="H322" s="32"/>
      <c r="I322" s="9"/>
      <c r="J322" s="9"/>
      <c r="K322" s="8"/>
      <c r="L322" s="9"/>
      <c r="M322" s="9"/>
      <c r="N322" s="9"/>
      <c r="O322" s="19"/>
      <c r="P322" s="10"/>
    </row>
    <row r="323" spans="1:16">
      <c r="A323" s="7">
        <f t="shared" si="4"/>
        <v>42469</v>
      </c>
      <c r="B323" s="27"/>
      <c r="C323" s="8"/>
      <c r="D323" s="9"/>
      <c r="E323" s="8"/>
      <c r="F323" s="8"/>
      <c r="G323" s="8"/>
      <c r="H323" s="32"/>
      <c r="I323" s="9"/>
      <c r="J323" s="9"/>
      <c r="K323" s="8"/>
      <c r="L323" s="9"/>
      <c r="M323" s="9"/>
      <c r="N323" s="9"/>
      <c r="O323" s="19"/>
      <c r="P323" s="10"/>
    </row>
    <row r="324" spans="1:16">
      <c r="A324" s="7">
        <f t="shared" si="4"/>
        <v>42470</v>
      </c>
      <c r="B324" s="27"/>
      <c r="C324" s="8"/>
      <c r="D324" s="9"/>
      <c r="E324" s="8"/>
      <c r="F324" s="8"/>
      <c r="G324" s="8"/>
      <c r="H324" s="32"/>
      <c r="I324" s="9"/>
      <c r="J324" s="9"/>
      <c r="K324" s="8"/>
      <c r="L324" s="9"/>
      <c r="M324" s="9"/>
      <c r="N324" s="9"/>
      <c r="O324" s="19"/>
      <c r="P324" s="10"/>
    </row>
    <row r="325" spans="1:16">
      <c r="A325" s="7">
        <f t="shared" ref="A325:A367" si="5">A324+1</f>
        <v>42471</v>
      </c>
      <c r="B325" s="27"/>
      <c r="C325" s="27"/>
      <c r="D325" s="21"/>
      <c r="E325" s="27"/>
      <c r="F325" s="29">
        <f>IFERROR(IF(INPUTS!B326="Male", 86.01*LOG(C325-D325)-70.041*LOG(INPUTS!B$7)+30.3, 163.205*LOG('BULKING TRACKER'!C325+'BULKING TRACKER'!E325-'BULKING TRACKER'!D325)-97.684*LOG(INPUTS!B$7)-104.912),0)</f>
        <v>0</v>
      </c>
      <c r="G325" s="11" t="str">
        <f>IF(B325&gt;0, AVERAGE(B319:B325), " ")</f>
        <v xml:space="preserve"> </v>
      </c>
      <c r="H325" s="30">
        <f>IFERROR(IF(B325&gt;0, (G318-G325)/G318,0.007), 0)</f>
        <v>7.0000000000000001E-3</v>
      </c>
      <c r="I325" s="13" t="str">
        <f>IF(H325&lt;0, "Cut 200kcal", "")</f>
        <v/>
      </c>
      <c r="J325" s="13" t="str">
        <f>IF(AND(H325&lt;0.005, H325&gt;=0), "Cut 100kcal", "")</f>
        <v/>
      </c>
      <c r="K325" s="13" t="str">
        <f>IF(AND(H325&lt;0.006, H325&gt;=0.005), "Cut 50kcal", "")</f>
        <v/>
      </c>
      <c r="L325" s="13" t="str">
        <f>IF(AND(H325&lt;0.008, H325&gt;=0.006), "Remain Constant", "")</f>
        <v>Remain Constant</v>
      </c>
      <c r="M325" s="13" t="str">
        <f>IF(AND(H325&gt;=0.008,H325&lt;0.01), "Add 50kcal", "")</f>
        <v/>
      </c>
      <c r="N325" s="13" t="str">
        <f>IF(H325&gt;=0.01, "Add 100kcal", "")</f>
        <v/>
      </c>
      <c r="O325" s="20"/>
      <c r="P325" s="5" t="str">
        <f>IF(O325&gt;0,P318+O325,"")</f>
        <v/>
      </c>
    </row>
    <row r="326" spans="1:16">
      <c r="A326" s="7">
        <f t="shared" si="5"/>
        <v>42472</v>
      </c>
      <c r="B326" s="27"/>
      <c r="C326" s="8"/>
      <c r="D326" s="9"/>
      <c r="E326" s="8"/>
      <c r="F326" s="8"/>
      <c r="G326" s="8"/>
      <c r="H326" s="32"/>
      <c r="I326" s="9"/>
      <c r="J326" s="9"/>
      <c r="K326" s="8"/>
      <c r="L326" s="9"/>
      <c r="M326" s="9"/>
      <c r="N326" s="9"/>
      <c r="O326" s="19"/>
      <c r="P326" s="10"/>
    </row>
    <row r="327" spans="1:16">
      <c r="A327" s="7">
        <f t="shared" si="5"/>
        <v>42473</v>
      </c>
      <c r="B327" s="27"/>
      <c r="C327" s="8"/>
      <c r="D327" s="9"/>
      <c r="E327" s="8"/>
      <c r="F327" s="8"/>
      <c r="G327" s="8"/>
      <c r="H327" s="32"/>
      <c r="I327" s="9"/>
      <c r="J327" s="9"/>
      <c r="K327" s="8"/>
      <c r="L327" s="9"/>
      <c r="M327" s="9"/>
      <c r="N327" s="9"/>
      <c r="O327" s="19"/>
      <c r="P327" s="10"/>
    </row>
    <row r="328" spans="1:16">
      <c r="A328" s="7">
        <f t="shared" si="5"/>
        <v>42474</v>
      </c>
      <c r="B328" s="27"/>
      <c r="C328" s="8"/>
      <c r="D328" s="9"/>
      <c r="E328" s="8"/>
      <c r="F328" s="8"/>
      <c r="G328" s="8"/>
      <c r="H328" s="32"/>
      <c r="I328" s="9"/>
      <c r="J328" s="9"/>
      <c r="K328" s="8"/>
      <c r="L328" s="9"/>
      <c r="M328" s="9"/>
      <c r="N328" s="9"/>
      <c r="O328" s="19"/>
      <c r="P328" s="10"/>
    </row>
    <row r="329" spans="1:16">
      <c r="A329" s="7">
        <f t="shared" si="5"/>
        <v>42475</v>
      </c>
      <c r="B329" s="27"/>
      <c r="C329" s="8"/>
      <c r="D329" s="9"/>
      <c r="E329" s="8"/>
      <c r="F329" s="8"/>
      <c r="G329" s="8"/>
      <c r="H329" s="32"/>
      <c r="I329" s="9"/>
      <c r="J329" s="9"/>
      <c r="K329" s="8"/>
      <c r="L329" s="9"/>
      <c r="M329" s="9"/>
      <c r="N329" s="9"/>
      <c r="O329" s="19"/>
      <c r="P329" s="10"/>
    </row>
    <row r="330" spans="1:16">
      <c r="A330" s="7">
        <f t="shared" si="5"/>
        <v>42476</v>
      </c>
      <c r="B330" s="27"/>
      <c r="C330" s="8"/>
      <c r="D330" s="9"/>
      <c r="E330" s="8"/>
      <c r="F330" s="8"/>
      <c r="G330" s="8"/>
      <c r="H330" s="32"/>
      <c r="I330" s="9"/>
      <c r="J330" s="9"/>
      <c r="K330" s="8"/>
      <c r="L330" s="9"/>
      <c r="M330" s="9"/>
      <c r="N330" s="9"/>
      <c r="O330" s="19"/>
      <c r="P330" s="10"/>
    </row>
    <row r="331" spans="1:16">
      <c r="A331" s="7">
        <f t="shared" si="5"/>
        <v>42477</v>
      </c>
      <c r="B331" s="27"/>
      <c r="C331" s="8"/>
      <c r="D331" s="9"/>
      <c r="E331" s="8"/>
      <c r="F331" s="8"/>
      <c r="G331" s="8"/>
      <c r="H331" s="32"/>
      <c r="I331" s="9"/>
      <c r="J331" s="9"/>
      <c r="K331" s="8"/>
      <c r="L331" s="9"/>
      <c r="M331" s="9"/>
      <c r="N331" s="9"/>
      <c r="O331" s="19"/>
      <c r="P331" s="10"/>
    </row>
    <row r="332" spans="1:16">
      <c r="A332" s="7">
        <f t="shared" si="5"/>
        <v>42478</v>
      </c>
      <c r="B332" s="27"/>
      <c r="C332" s="27"/>
      <c r="D332" s="21"/>
      <c r="E332" s="27"/>
      <c r="F332" s="29">
        <f>IFERROR(IF(INPUTS!B333="Male", 86.01*LOG(C332-D332)-70.041*LOG(INPUTS!B$7)+30.3, 163.205*LOG('BULKING TRACKER'!C332+'BULKING TRACKER'!E332-'BULKING TRACKER'!D332)-97.684*LOG(INPUTS!B$7)-104.912),0)</f>
        <v>0</v>
      </c>
      <c r="G332" s="11" t="str">
        <f>IF(B332&gt;0, AVERAGE(B326:B332), " ")</f>
        <v xml:space="preserve"> </v>
      </c>
      <c r="H332" s="30">
        <f>IFERROR(IF(B332&gt;0, (G325-G332)/G325,0.007), 0)</f>
        <v>7.0000000000000001E-3</v>
      </c>
      <c r="I332" s="13" t="str">
        <f>IF(H332&lt;0, "Cut 200kcal", "")</f>
        <v/>
      </c>
      <c r="J332" s="13" t="str">
        <f>IF(AND(H332&lt;0.005, H332&gt;=0), "Cut 100kcal", "")</f>
        <v/>
      </c>
      <c r="K332" s="13" t="str">
        <f>IF(AND(H332&lt;0.006, H332&gt;=0.005), "Cut 50kcal", "")</f>
        <v/>
      </c>
      <c r="L332" s="13" t="str">
        <f>IF(AND(H332&lt;0.008, H332&gt;=0.006), "Remain Constant", "")</f>
        <v>Remain Constant</v>
      </c>
      <c r="M332" s="13" t="str">
        <f>IF(AND(H332&gt;=0.008,H332&lt;0.01), "Add 50kcal", "")</f>
        <v/>
      </c>
      <c r="N332" s="13" t="str">
        <f>IF(H332&gt;=0.01, "Add 100kcal", "")</f>
        <v/>
      </c>
      <c r="O332" s="20"/>
      <c r="P332" s="5" t="str">
        <f>IF(O332&gt;0,P325+O332,"")</f>
        <v/>
      </c>
    </row>
    <row r="333" spans="1:16">
      <c r="A333" s="7">
        <f t="shared" si="5"/>
        <v>42479</v>
      </c>
      <c r="B333" s="27"/>
      <c r="C333" s="8"/>
      <c r="D333" s="9"/>
      <c r="E333" s="8"/>
      <c r="F333" s="8"/>
      <c r="G333" s="8"/>
      <c r="H333" s="32"/>
      <c r="I333" s="9"/>
      <c r="J333" s="9"/>
      <c r="K333" s="8"/>
      <c r="L333" s="9"/>
      <c r="M333" s="9"/>
      <c r="N333" s="9"/>
      <c r="O333" s="19"/>
      <c r="P333" s="10"/>
    </row>
    <row r="334" spans="1:16">
      <c r="A334" s="7">
        <f t="shared" si="5"/>
        <v>42480</v>
      </c>
      <c r="B334" s="27"/>
      <c r="C334" s="8"/>
      <c r="D334" s="9"/>
      <c r="E334" s="8"/>
      <c r="F334" s="8"/>
      <c r="G334" s="8"/>
      <c r="H334" s="32"/>
      <c r="I334" s="9"/>
      <c r="J334" s="9"/>
      <c r="K334" s="8"/>
      <c r="L334" s="9"/>
      <c r="M334" s="9"/>
      <c r="N334" s="9"/>
      <c r="O334" s="19"/>
      <c r="P334" s="10"/>
    </row>
    <row r="335" spans="1:16">
      <c r="A335" s="7">
        <f t="shared" si="5"/>
        <v>42481</v>
      </c>
      <c r="B335" s="27"/>
      <c r="C335" s="8"/>
      <c r="D335" s="9"/>
      <c r="E335" s="8"/>
      <c r="F335" s="8"/>
      <c r="G335" s="8"/>
      <c r="H335" s="32"/>
      <c r="I335" s="9"/>
      <c r="J335" s="9"/>
      <c r="K335" s="8"/>
      <c r="L335" s="9"/>
      <c r="M335" s="9"/>
      <c r="N335" s="9"/>
      <c r="O335" s="19"/>
      <c r="P335" s="10"/>
    </row>
    <row r="336" spans="1:16">
      <c r="A336" s="7">
        <f t="shared" si="5"/>
        <v>42482</v>
      </c>
      <c r="B336" s="27"/>
      <c r="C336" s="8"/>
      <c r="D336" s="9"/>
      <c r="E336" s="8"/>
      <c r="F336" s="8"/>
      <c r="G336" s="8"/>
      <c r="H336" s="32"/>
      <c r="I336" s="9"/>
      <c r="J336" s="9"/>
      <c r="K336" s="8"/>
      <c r="L336" s="9"/>
      <c r="M336" s="9"/>
      <c r="N336" s="9"/>
      <c r="O336" s="19"/>
      <c r="P336" s="10"/>
    </row>
    <row r="337" spans="1:16">
      <c r="A337" s="7">
        <f t="shared" si="5"/>
        <v>42483</v>
      </c>
      <c r="B337" s="27"/>
      <c r="C337" s="8"/>
      <c r="D337" s="9"/>
      <c r="E337" s="8"/>
      <c r="F337" s="8"/>
      <c r="G337" s="8"/>
      <c r="H337" s="32"/>
      <c r="I337" s="9"/>
      <c r="J337" s="9"/>
      <c r="K337" s="8"/>
      <c r="L337" s="9"/>
      <c r="M337" s="9"/>
      <c r="N337" s="9"/>
      <c r="O337" s="19"/>
      <c r="P337" s="10"/>
    </row>
    <row r="338" spans="1:16">
      <c r="A338" s="7">
        <f t="shared" si="5"/>
        <v>42484</v>
      </c>
      <c r="B338" s="27"/>
      <c r="C338" s="8"/>
      <c r="D338" s="9"/>
      <c r="E338" s="8"/>
      <c r="F338" s="8"/>
      <c r="G338" s="8"/>
      <c r="H338" s="32"/>
      <c r="I338" s="9"/>
      <c r="J338" s="9"/>
      <c r="K338" s="8"/>
      <c r="L338" s="9"/>
      <c r="M338" s="9"/>
      <c r="N338" s="9"/>
      <c r="O338" s="19"/>
      <c r="P338" s="10"/>
    </row>
    <row r="339" spans="1:16">
      <c r="A339" s="7">
        <f t="shared" si="5"/>
        <v>42485</v>
      </c>
      <c r="B339" s="27"/>
      <c r="C339" s="27"/>
      <c r="D339" s="21"/>
      <c r="E339" s="27"/>
      <c r="F339" s="29">
        <f>IFERROR(IF(INPUTS!B340="Male", 86.01*LOG(C339-D339)-70.041*LOG(INPUTS!B$7)+30.3, 163.205*LOG('BULKING TRACKER'!C339+'BULKING TRACKER'!E339-'BULKING TRACKER'!D339)-97.684*LOG(INPUTS!B$7)-104.912),0)</f>
        <v>0</v>
      </c>
      <c r="G339" s="11" t="str">
        <f>IF(B339&gt;0, AVERAGE(B333:B339), " ")</f>
        <v xml:space="preserve"> </v>
      </c>
      <c r="H339" s="30">
        <f>IFERROR(IF(B339&gt;0, (G332-G339)/G332,0.007), 0)</f>
        <v>7.0000000000000001E-3</v>
      </c>
      <c r="I339" s="13" t="str">
        <f>IF(H339&lt;0, "Cut 200kcal", "")</f>
        <v/>
      </c>
      <c r="J339" s="13" t="str">
        <f>IF(AND(H339&lt;0.005, H339&gt;=0), "Cut 100kcal", "")</f>
        <v/>
      </c>
      <c r="K339" s="13" t="str">
        <f>IF(AND(H339&lt;0.006, H339&gt;=0.005), "Cut 50kcal", "")</f>
        <v/>
      </c>
      <c r="L339" s="13" t="str">
        <f>IF(AND(H339&lt;0.008, H339&gt;=0.006), "Remain Constant", "")</f>
        <v>Remain Constant</v>
      </c>
      <c r="M339" s="13" t="str">
        <f>IF(AND(H339&gt;=0.008,H339&lt;0.01), "Add 50kcal", "")</f>
        <v/>
      </c>
      <c r="N339" s="13" t="str">
        <f>IF(H339&gt;=0.01, "Add 100kcal", "")</f>
        <v/>
      </c>
      <c r="O339" s="20"/>
      <c r="P339" s="5" t="str">
        <f>IF(O339&gt;0,P332+O339,"")</f>
        <v/>
      </c>
    </row>
    <row r="340" spans="1:16">
      <c r="A340" s="7">
        <f t="shared" si="5"/>
        <v>42486</v>
      </c>
      <c r="B340" s="27"/>
      <c r="C340" s="8"/>
      <c r="D340" s="9"/>
      <c r="E340" s="8"/>
      <c r="F340" s="8"/>
      <c r="G340" s="8"/>
      <c r="H340" s="32"/>
      <c r="I340" s="9"/>
      <c r="J340" s="9"/>
      <c r="K340" s="8"/>
      <c r="L340" s="9"/>
      <c r="M340" s="9"/>
      <c r="N340" s="9"/>
      <c r="O340" s="19"/>
      <c r="P340" s="10"/>
    </row>
    <row r="341" spans="1:16">
      <c r="A341" s="7">
        <f t="shared" si="5"/>
        <v>42487</v>
      </c>
      <c r="B341" s="27"/>
      <c r="C341" s="8"/>
      <c r="D341" s="9"/>
      <c r="E341" s="8"/>
      <c r="F341" s="8"/>
      <c r="G341" s="8"/>
      <c r="H341" s="32"/>
      <c r="I341" s="9"/>
      <c r="J341" s="9"/>
      <c r="K341" s="8"/>
      <c r="L341" s="9"/>
      <c r="M341" s="9"/>
      <c r="N341" s="9"/>
      <c r="O341" s="19"/>
      <c r="P341" s="10"/>
    </row>
    <row r="342" spans="1:16">
      <c r="A342" s="7">
        <f t="shared" si="5"/>
        <v>42488</v>
      </c>
      <c r="B342" s="27"/>
      <c r="C342" s="8"/>
      <c r="D342" s="9"/>
      <c r="E342" s="8"/>
      <c r="F342" s="8"/>
      <c r="G342" s="8"/>
      <c r="H342" s="32"/>
      <c r="I342" s="9"/>
      <c r="J342" s="9"/>
      <c r="K342" s="8"/>
      <c r="L342" s="9"/>
      <c r="M342" s="9"/>
      <c r="N342" s="9"/>
      <c r="O342" s="19"/>
      <c r="P342" s="10"/>
    </row>
    <row r="343" spans="1:16">
      <c r="A343" s="7">
        <f t="shared" si="5"/>
        <v>42489</v>
      </c>
      <c r="B343" s="27"/>
      <c r="C343" s="8"/>
      <c r="D343" s="9"/>
      <c r="E343" s="8"/>
      <c r="F343" s="8"/>
      <c r="G343" s="8"/>
      <c r="H343" s="32"/>
      <c r="I343" s="9"/>
      <c r="J343" s="9"/>
      <c r="K343" s="8"/>
      <c r="L343" s="9"/>
      <c r="M343" s="9"/>
      <c r="N343" s="9"/>
      <c r="O343" s="19"/>
      <c r="P343" s="10"/>
    </row>
    <row r="344" spans="1:16">
      <c r="A344" s="7">
        <f t="shared" si="5"/>
        <v>42490</v>
      </c>
      <c r="B344" s="27"/>
      <c r="C344" s="8"/>
      <c r="D344" s="9"/>
      <c r="E344" s="8"/>
      <c r="F344" s="8"/>
      <c r="G344" s="8"/>
      <c r="H344" s="32"/>
      <c r="I344" s="9"/>
      <c r="J344" s="9"/>
      <c r="K344" s="8"/>
      <c r="L344" s="9"/>
      <c r="M344" s="9"/>
      <c r="N344" s="9"/>
      <c r="O344" s="19"/>
      <c r="P344" s="10"/>
    </row>
    <row r="345" spans="1:16">
      <c r="A345" s="7">
        <f t="shared" si="5"/>
        <v>42491</v>
      </c>
      <c r="B345" s="27"/>
      <c r="C345" s="8"/>
      <c r="D345" s="9"/>
      <c r="E345" s="8"/>
      <c r="F345" s="8"/>
      <c r="G345" s="8"/>
      <c r="H345" s="32"/>
      <c r="I345" s="9"/>
      <c r="J345" s="9"/>
      <c r="K345" s="8"/>
      <c r="L345" s="9"/>
      <c r="M345" s="9"/>
      <c r="N345" s="9"/>
      <c r="O345" s="19"/>
      <c r="P345" s="10"/>
    </row>
    <row r="346" spans="1:16">
      <c r="A346" s="7">
        <f t="shared" si="5"/>
        <v>42492</v>
      </c>
      <c r="B346" s="27"/>
      <c r="C346" s="27"/>
      <c r="D346" s="21"/>
      <c r="E346" s="27"/>
      <c r="F346" s="29">
        <f>IFERROR(IF(INPUTS!B347="Male", 86.01*LOG(C346-D346)-70.041*LOG(INPUTS!B$7)+30.3, 163.205*LOG('BULKING TRACKER'!C346+'BULKING TRACKER'!E346-'BULKING TRACKER'!D346)-97.684*LOG(INPUTS!B$7)-104.912),0)</f>
        <v>0</v>
      </c>
      <c r="G346" s="11" t="str">
        <f>IF(B346&gt;0, AVERAGE(B340:B346), " ")</f>
        <v xml:space="preserve"> </v>
      </c>
      <c r="H346" s="30">
        <f>IFERROR(IF(B346&gt;0, (G339-G346)/G339,0.007), 0)</f>
        <v>7.0000000000000001E-3</v>
      </c>
      <c r="I346" s="13" t="str">
        <f>IF(H346&lt;0, "Cut 200kcal", "")</f>
        <v/>
      </c>
      <c r="J346" s="13" t="str">
        <f>IF(AND(H346&lt;0.005, H346&gt;=0), "Cut 100kcal", "")</f>
        <v/>
      </c>
      <c r="K346" s="13" t="str">
        <f>IF(AND(H346&lt;0.006, H346&gt;=0.005), "Cut 50kcal", "")</f>
        <v/>
      </c>
      <c r="L346" s="13" t="str">
        <f>IF(AND(H346&lt;0.008, H346&gt;=0.006), "Remain Constant", "")</f>
        <v>Remain Constant</v>
      </c>
      <c r="M346" s="13" t="str">
        <f>IF(AND(H346&gt;=0.008,H346&lt;0.01), "Add 50kcal", "")</f>
        <v/>
      </c>
      <c r="N346" s="13" t="str">
        <f>IF(H346&gt;=0.01, "Add 100kcal", "")</f>
        <v/>
      </c>
      <c r="O346" s="20"/>
      <c r="P346" s="5" t="str">
        <f>IF(O346&gt;0,P339+O346,"")</f>
        <v/>
      </c>
    </row>
    <row r="347" spans="1:16">
      <c r="A347" s="7">
        <f t="shared" si="5"/>
        <v>42493</v>
      </c>
      <c r="B347" s="27"/>
      <c r="C347" s="8"/>
      <c r="D347" s="9"/>
      <c r="E347" s="8"/>
      <c r="F347" s="8"/>
      <c r="G347" s="8"/>
      <c r="H347" s="32"/>
      <c r="I347" s="9"/>
      <c r="J347" s="9"/>
      <c r="K347" s="8"/>
      <c r="L347" s="9"/>
      <c r="M347" s="9"/>
      <c r="N347" s="9"/>
      <c r="O347" s="19"/>
      <c r="P347" s="10"/>
    </row>
    <row r="348" spans="1:16">
      <c r="A348" s="7">
        <f t="shared" si="5"/>
        <v>42494</v>
      </c>
      <c r="B348" s="27"/>
      <c r="C348" s="8"/>
      <c r="D348" s="9"/>
      <c r="E348" s="8"/>
      <c r="F348" s="8"/>
      <c r="G348" s="8"/>
      <c r="H348" s="32"/>
      <c r="I348" s="9"/>
      <c r="J348" s="9"/>
      <c r="K348" s="8"/>
      <c r="L348" s="9"/>
      <c r="M348" s="9"/>
      <c r="N348" s="9"/>
      <c r="O348" s="19"/>
      <c r="P348" s="10"/>
    </row>
    <row r="349" spans="1:16">
      <c r="A349" s="7">
        <f t="shared" si="5"/>
        <v>42495</v>
      </c>
      <c r="B349" s="27"/>
      <c r="C349" s="8"/>
      <c r="D349" s="9"/>
      <c r="E349" s="8"/>
      <c r="F349" s="8"/>
      <c r="G349" s="8"/>
      <c r="H349" s="32"/>
      <c r="I349" s="9"/>
      <c r="J349" s="9"/>
      <c r="K349" s="8"/>
      <c r="L349" s="9"/>
      <c r="M349" s="9"/>
      <c r="N349" s="9"/>
      <c r="O349" s="19"/>
      <c r="P349" s="10"/>
    </row>
    <row r="350" spans="1:16">
      <c r="A350" s="7">
        <f t="shared" si="5"/>
        <v>42496</v>
      </c>
      <c r="B350" s="27"/>
      <c r="C350" s="8"/>
      <c r="D350" s="9"/>
      <c r="E350" s="8"/>
      <c r="F350" s="8"/>
      <c r="G350" s="8"/>
      <c r="H350" s="32"/>
      <c r="I350" s="9"/>
      <c r="J350" s="9"/>
      <c r="K350" s="8"/>
      <c r="L350" s="9"/>
      <c r="M350" s="9"/>
      <c r="N350" s="9"/>
      <c r="O350" s="19"/>
      <c r="P350" s="10"/>
    </row>
    <row r="351" spans="1:16">
      <c r="A351" s="7">
        <f t="shared" si="5"/>
        <v>42497</v>
      </c>
      <c r="B351" s="27"/>
      <c r="C351" s="8"/>
      <c r="D351" s="9"/>
      <c r="E351" s="8"/>
      <c r="F351" s="8"/>
      <c r="G351" s="8"/>
      <c r="H351" s="32"/>
      <c r="I351" s="9"/>
      <c r="J351" s="9"/>
      <c r="K351" s="8"/>
      <c r="L351" s="9"/>
      <c r="M351" s="9"/>
      <c r="N351" s="9"/>
      <c r="O351" s="19"/>
      <c r="P351" s="10"/>
    </row>
    <row r="352" spans="1:16">
      <c r="A352" s="7">
        <f t="shared" si="5"/>
        <v>42498</v>
      </c>
      <c r="B352" s="27"/>
      <c r="C352" s="8"/>
      <c r="D352" s="9"/>
      <c r="E352" s="8"/>
      <c r="F352" s="8"/>
      <c r="G352" s="8"/>
      <c r="H352" s="32"/>
      <c r="I352" s="9"/>
      <c r="J352" s="9"/>
      <c r="K352" s="8"/>
      <c r="L352" s="9"/>
      <c r="M352" s="9"/>
      <c r="N352" s="9"/>
      <c r="O352" s="19"/>
      <c r="P352" s="10"/>
    </row>
    <row r="353" spans="1:16">
      <c r="A353" s="7">
        <f t="shared" si="5"/>
        <v>42499</v>
      </c>
      <c r="B353" s="27"/>
      <c r="C353" s="27"/>
      <c r="D353" s="21"/>
      <c r="E353" s="27"/>
      <c r="F353" s="29">
        <f>IFERROR(IF(INPUTS!B354="Male", 86.01*LOG(C353-D353)-70.041*LOG(INPUTS!B$7)+30.3, 163.205*LOG('BULKING TRACKER'!C353+'BULKING TRACKER'!E353-'BULKING TRACKER'!D353)-97.684*LOG(INPUTS!B$7)-104.912),0)</f>
        <v>0</v>
      </c>
      <c r="G353" s="11" t="str">
        <f>IF(B353&gt;0, AVERAGE(B347:B353), " ")</f>
        <v xml:space="preserve"> </v>
      </c>
      <c r="H353" s="30">
        <f>IFERROR(IF(B353&gt;0, (G346-G353)/G346,0.007), 0)</f>
        <v>7.0000000000000001E-3</v>
      </c>
      <c r="I353" s="13" t="str">
        <f>IF(H353&lt;0, "Cut 200kcal", "")</f>
        <v/>
      </c>
      <c r="J353" s="13" t="str">
        <f>IF(AND(H353&lt;0.005, H353&gt;=0), "Cut 100kcal", "")</f>
        <v/>
      </c>
      <c r="K353" s="13" t="str">
        <f>IF(AND(H353&lt;0.006, H353&gt;=0.005), "Cut 50kcal", "")</f>
        <v/>
      </c>
      <c r="L353" s="13" t="str">
        <f>IF(AND(H353&lt;0.008, H353&gt;=0.006), "Remain Constant", "")</f>
        <v>Remain Constant</v>
      </c>
      <c r="M353" s="13" t="str">
        <f>IF(AND(H353&gt;=0.008,H353&lt;0.01), "Add 50kcal", "")</f>
        <v/>
      </c>
      <c r="N353" s="13" t="str">
        <f>IF(H353&gt;=0.01, "Add 100kcal", "")</f>
        <v/>
      </c>
      <c r="O353" s="20"/>
      <c r="P353" s="5" t="str">
        <f>IF(O353&gt;0,P346+O353,"")</f>
        <v/>
      </c>
    </row>
    <row r="354" spans="1:16">
      <c r="A354" s="7">
        <f t="shared" si="5"/>
        <v>42500</v>
      </c>
      <c r="B354" s="27"/>
      <c r="C354" s="8"/>
      <c r="D354" s="9"/>
      <c r="E354" s="8"/>
      <c r="F354" s="8"/>
      <c r="G354" s="8"/>
      <c r="H354" s="32"/>
      <c r="I354" s="9"/>
      <c r="J354" s="9"/>
      <c r="K354" s="8"/>
      <c r="L354" s="9"/>
      <c r="M354" s="9"/>
      <c r="N354" s="9"/>
      <c r="O354" s="19"/>
      <c r="P354" s="10"/>
    </row>
    <row r="355" spans="1:16">
      <c r="A355" s="7">
        <f t="shared" si="5"/>
        <v>42501</v>
      </c>
      <c r="B355" s="27"/>
      <c r="C355" s="8"/>
      <c r="D355" s="9"/>
      <c r="E355" s="8"/>
      <c r="F355" s="8"/>
      <c r="G355" s="8"/>
      <c r="H355" s="32"/>
      <c r="I355" s="9"/>
      <c r="J355" s="9"/>
      <c r="K355" s="8"/>
      <c r="L355" s="9"/>
      <c r="M355" s="9"/>
      <c r="N355" s="9"/>
      <c r="O355" s="19"/>
      <c r="P355" s="10"/>
    </row>
    <row r="356" spans="1:16">
      <c r="A356" s="7">
        <f t="shared" si="5"/>
        <v>42502</v>
      </c>
      <c r="B356" s="27"/>
      <c r="C356" s="8"/>
      <c r="D356" s="9"/>
      <c r="E356" s="8"/>
      <c r="F356" s="8"/>
      <c r="G356" s="8"/>
      <c r="H356" s="32"/>
      <c r="I356" s="9"/>
      <c r="J356" s="9"/>
      <c r="K356" s="8"/>
      <c r="L356" s="9"/>
      <c r="M356" s="9"/>
      <c r="N356" s="9"/>
      <c r="O356" s="19"/>
      <c r="P356" s="10"/>
    </row>
    <row r="357" spans="1:16">
      <c r="A357" s="7">
        <f t="shared" si="5"/>
        <v>42503</v>
      </c>
      <c r="B357" s="27"/>
      <c r="C357" s="8"/>
      <c r="D357" s="9"/>
      <c r="E357" s="8"/>
      <c r="F357" s="8"/>
      <c r="G357" s="8"/>
      <c r="H357" s="32"/>
      <c r="I357" s="9"/>
      <c r="J357" s="9"/>
      <c r="K357" s="8"/>
      <c r="L357" s="9"/>
      <c r="M357" s="9"/>
      <c r="N357" s="9"/>
      <c r="O357" s="19"/>
      <c r="P357" s="10"/>
    </row>
    <row r="358" spans="1:16">
      <c r="A358" s="7">
        <f t="shared" si="5"/>
        <v>42504</v>
      </c>
      <c r="B358" s="27"/>
      <c r="C358" s="8"/>
      <c r="D358" s="9"/>
      <c r="E358" s="8"/>
      <c r="F358" s="8"/>
      <c r="G358" s="8"/>
      <c r="H358" s="32"/>
      <c r="I358" s="9"/>
      <c r="J358" s="9"/>
      <c r="K358" s="8"/>
      <c r="L358" s="9"/>
      <c r="M358" s="9"/>
      <c r="N358" s="9"/>
      <c r="O358" s="19"/>
      <c r="P358" s="10"/>
    </row>
    <row r="359" spans="1:16">
      <c r="A359" s="7">
        <f t="shared" si="5"/>
        <v>42505</v>
      </c>
      <c r="B359" s="27"/>
      <c r="C359" s="8"/>
      <c r="D359" s="9"/>
      <c r="E359" s="8"/>
      <c r="F359" s="8"/>
      <c r="G359" s="8"/>
      <c r="H359" s="32"/>
      <c r="I359" s="9"/>
      <c r="J359" s="9"/>
      <c r="K359" s="8"/>
      <c r="L359" s="9"/>
      <c r="M359" s="9"/>
      <c r="N359" s="9"/>
      <c r="O359" s="19"/>
      <c r="P359" s="10"/>
    </row>
    <row r="360" spans="1:16">
      <c r="A360" s="7">
        <f t="shared" si="5"/>
        <v>42506</v>
      </c>
      <c r="B360" s="27"/>
      <c r="C360" s="27"/>
      <c r="D360" s="21"/>
      <c r="E360" s="27"/>
      <c r="F360" s="29">
        <f>IFERROR(IF(INPUTS!B361="Male", 86.01*LOG(C360-D360)-70.041*LOG(INPUTS!B$7)+30.3, 163.205*LOG('BULKING TRACKER'!C360+'BULKING TRACKER'!E360-'BULKING TRACKER'!D360)-97.684*LOG(INPUTS!B$7)-104.912),0)</f>
        <v>0</v>
      </c>
      <c r="G360" s="11" t="str">
        <f>IF(B360&gt;0, AVERAGE(B354:B360), " ")</f>
        <v xml:space="preserve"> </v>
      </c>
      <c r="H360" s="30">
        <f>IFERROR(IF(B360&gt;0, (G353-G360)/G353,0.007), 0)</f>
        <v>7.0000000000000001E-3</v>
      </c>
      <c r="I360" s="13" t="str">
        <f>IF(H360&lt;0, "Cut 200kcal", "")</f>
        <v/>
      </c>
      <c r="J360" s="13" t="str">
        <f>IF(AND(H360&lt;0.005, H360&gt;=0), "Cut 100kcal", "")</f>
        <v/>
      </c>
      <c r="K360" s="13" t="str">
        <f>IF(AND(H360&lt;0.006, H360&gt;=0.005), "Cut 50kcal", "")</f>
        <v/>
      </c>
      <c r="L360" s="13" t="str">
        <f>IF(AND(H360&lt;0.008, H360&gt;=0.006), "Remain Constant", "")</f>
        <v>Remain Constant</v>
      </c>
      <c r="M360" s="13" t="str">
        <f>IF(AND(H360&gt;=0.008,H360&lt;0.01), "Add 50kcal", "")</f>
        <v/>
      </c>
      <c r="N360" s="13" t="str">
        <f>IF(H360&gt;=0.01, "Add 100kcal", "")</f>
        <v/>
      </c>
      <c r="O360" s="20"/>
      <c r="P360" s="5" t="str">
        <f>IF(O360&gt;0,P353+O360,"")</f>
        <v/>
      </c>
    </row>
    <row r="361" spans="1:16">
      <c r="A361" s="7">
        <f t="shared" si="5"/>
        <v>42507</v>
      </c>
      <c r="B361" s="27"/>
      <c r="C361" s="8"/>
      <c r="D361" s="9"/>
      <c r="E361" s="8"/>
      <c r="F361" s="8"/>
      <c r="G361" s="8"/>
      <c r="H361" s="32"/>
      <c r="I361" s="9"/>
      <c r="J361" s="9"/>
      <c r="K361" s="8"/>
      <c r="L361" s="9"/>
      <c r="M361" s="9"/>
      <c r="N361" s="9"/>
      <c r="O361" s="19"/>
      <c r="P361" s="10"/>
    </row>
    <row r="362" spans="1:16">
      <c r="A362" s="7">
        <f t="shared" si="5"/>
        <v>42508</v>
      </c>
      <c r="B362" s="27"/>
      <c r="C362" s="8"/>
      <c r="D362" s="9"/>
      <c r="E362" s="8"/>
      <c r="F362" s="8"/>
      <c r="G362" s="8"/>
      <c r="H362" s="32"/>
      <c r="I362" s="9"/>
      <c r="J362" s="9"/>
      <c r="K362" s="8"/>
      <c r="L362" s="9"/>
      <c r="M362" s="9"/>
      <c r="N362" s="9"/>
      <c r="O362" s="19"/>
      <c r="P362" s="10"/>
    </row>
    <row r="363" spans="1:16">
      <c r="A363" s="7">
        <f t="shared" si="5"/>
        <v>42509</v>
      </c>
      <c r="B363" s="27"/>
      <c r="C363" s="8"/>
      <c r="D363" s="9"/>
      <c r="E363" s="8"/>
      <c r="F363" s="8"/>
      <c r="G363" s="8"/>
      <c r="H363" s="32"/>
      <c r="I363" s="9"/>
      <c r="J363" s="9"/>
      <c r="K363" s="8"/>
      <c r="L363" s="9"/>
      <c r="M363" s="9"/>
      <c r="N363" s="9"/>
      <c r="O363" s="19"/>
      <c r="P363" s="10"/>
    </row>
    <row r="364" spans="1:16">
      <c r="A364" s="7">
        <f t="shared" si="5"/>
        <v>42510</v>
      </c>
      <c r="B364" s="27"/>
      <c r="C364" s="8"/>
      <c r="D364" s="9"/>
      <c r="E364" s="8"/>
      <c r="F364" s="8"/>
      <c r="G364" s="8"/>
      <c r="H364" s="32"/>
      <c r="I364" s="9"/>
      <c r="J364" s="9"/>
      <c r="K364" s="8"/>
      <c r="L364" s="9"/>
      <c r="M364" s="9"/>
      <c r="N364" s="9"/>
      <c r="O364" s="19"/>
      <c r="P364" s="10"/>
    </row>
    <row r="365" spans="1:16">
      <c r="A365" s="7">
        <f t="shared" si="5"/>
        <v>42511</v>
      </c>
      <c r="B365" s="27"/>
      <c r="C365" s="8"/>
      <c r="D365" s="9"/>
      <c r="E365" s="8"/>
      <c r="F365" s="8"/>
      <c r="G365" s="8"/>
      <c r="H365" s="32"/>
      <c r="I365" s="9"/>
      <c r="J365" s="9"/>
      <c r="K365" s="8"/>
      <c r="L365" s="9"/>
      <c r="M365" s="9"/>
      <c r="N365" s="9"/>
      <c r="O365" s="19"/>
      <c r="P365" s="10"/>
    </row>
    <row r="366" spans="1:16">
      <c r="A366" s="7">
        <f t="shared" si="5"/>
        <v>42512</v>
      </c>
      <c r="B366" s="27"/>
      <c r="C366" s="8"/>
      <c r="D366" s="9"/>
      <c r="E366" s="8"/>
      <c r="F366" s="8"/>
      <c r="G366" s="8"/>
      <c r="H366" s="32"/>
      <c r="I366" s="9"/>
      <c r="J366" s="9"/>
      <c r="K366" s="8"/>
      <c r="L366" s="9"/>
      <c r="M366" s="9"/>
      <c r="N366" s="9"/>
      <c r="O366" s="19"/>
      <c r="P366" s="10"/>
    </row>
    <row r="367" spans="1:16">
      <c r="A367" s="7">
        <f t="shared" si="5"/>
        <v>42513</v>
      </c>
      <c r="B367" s="27"/>
      <c r="C367" s="27"/>
      <c r="D367" s="21"/>
      <c r="E367" s="27"/>
      <c r="F367" s="29">
        <f>IFERROR(IF(INPUTS!B368="Male", 86.01*LOG(C367-D367)-70.041*LOG(INPUTS!B$7)+30.3, 163.205*LOG('BULKING TRACKER'!C367+'BULKING TRACKER'!E367-'BULKING TRACKER'!D367)-97.684*LOG(INPUTS!B$7)-104.912),0)</f>
        <v>0</v>
      </c>
      <c r="G367" s="11" t="str">
        <f>IF(B367&gt;0, AVERAGE(B361:B367), " ")</f>
        <v xml:space="preserve"> </v>
      </c>
      <c r="H367" s="30">
        <f>IFERROR(IF(B367&gt;0, (G360-G367)/G360,0.007), 0)</f>
        <v>7.0000000000000001E-3</v>
      </c>
      <c r="I367" s="13" t="str">
        <f>IF(H367&lt;0, "Cut 200kcal", "")</f>
        <v/>
      </c>
      <c r="J367" s="13" t="str">
        <f>IF(AND(H367&lt;0.005, H367&gt;=0), "Cut 100kcal", "")</f>
        <v/>
      </c>
      <c r="K367" s="13" t="str">
        <f>IF(AND(H367&lt;0.006, H367&gt;=0.005), "Cut 50kcal", "")</f>
        <v/>
      </c>
      <c r="L367" s="13" t="str">
        <f>IF(AND(H367&lt;0.008, H367&gt;=0.006), "Remain Constant", "")</f>
        <v>Remain Constant</v>
      </c>
      <c r="M367" s="13" t="str">
        <f>IF(AND(H367&gt;=0.008,H367&lt;0.01), "Add 50kcal", "")</f>
        <v/>
      </c>
      <c r="N367" s="13" t="str">
        <f>IF(H367&gt;=0.01, "Add 100kcal", "")</f>
        <v/>
      </c>
      <c r="O367" s="20"/>
      <c r="P367" s="5" t="str">
        <f>IF(O367&gt;0,P360+O367,"")</f>
        <v/>
      </c>
    </row>
  </sheetData>
  <mergeCells count="11">
    <mergeCell ref="F1:F2"/>
    <mergeCell ref="A1:A2"/>
    <mergeCell ref="B1:B2"/>
    <mergeCell ref="C1:C2"/>
    <mergeCell ref="D1:D2"/>
    <mergeCell ref="E1:E2"/>
    <mergeCell ref="G1:G2"/>
    <mergeCell ref="H1:H2"/>
    <mergeCell ref="I1:N2"/>
    <mergeCell ref="O1:O2"/>
    <mergeCell ref="P1:P2"/>
  </mergeCells>
  <conditionalFormatting sqref="G17">
    <cfRule type="cellIs" dxfId="109" priority="113" operator="equal">
      <formula>0</formula>
    </cfRule>
  </conditionalFormatting>
  <conditionalFormatting sqref="G24">
    <cfRule type="cellIs" dxfId="108" priority="112" operator="equal">
      <formula>0</formula>
    </cfRule>
  </conditionalFormatting>
  <conditionalFormatting sqref="G31">
    <cfRule type="cellIs" dxfId="107" priority="111" operator="equal">
      <formula>0</formula>
    </cfRule>
  </conditionalFormatting>
  <conditionalFormatting sqref="G38">
    <cfRule type="cellIs" dxfId="106" priority="110" operator="equal">
      <formula>0</formula>
    </cfRule>
  </conditionalFormatting>
  <conditionalFormatting sqref="F3">
    <cfRule type="cellIs" dxfId="105" priority="107" operator="equal">
      <formula>0</formula>
    </cfRule>
  </conditionalFormatting>
  <conditionalFormatting sqref="F332">
    <cfRule type="cellIs" dxfId="104" priority="60" operator="equal">
      <formula>0</formula>
    </cfRule>
  </conditionalFormatting>
  <conditionalFormatting sqref="F10">
    <cfRule type="cellIs" dxfId="103" priority="106" operator="equal">
      <formula>0</formula>
    </cfRule>
  </conditionalFormatting>
  <conditionalFormatting sqref="F17">
    <cfRule type="cellIs" dxfId="102" priority="105" operator="equal">
      <formula>0</formula>
    </cfRule>
  </conditionalFormatting>
  <conditionalFormatting sqref="F24">
    <cfRule type="cellIs" dxfId="101" priority="104" operator="equal">
      <formula>0</formula>
    </cfRule>
  </conditionalFormatting>
  <conditionalFormatting sqref="F31">
    <cfRule type="cellIs" dxfId="100" priority="103" operator="equal">
      <formula>0</formula>
    </cfRule>
  </conditionalFormatting>
  <conditionalFormatting sqref="F38">
    <cfRule type="cellIs" dxfId="99" priority="102" operator="equal">
      <formula>0</formula>
    </cfRule>
  </conditionalFormatting>
  <conditionalFormatting sqref="F45">
    <cfRule type="cellIs" dxfId="98" priority="101" operator="equal">
      <formula>0</formula>
    </cfRule>
  </conditionalFormatting>
  <conditionalFormatting sqref="F52">
    <cfRule type="cellIs" dxfId="97" priority="100" operator="equal">
      <formula>0</formula>
    </cfRule>
  </conditionalFormatting>
  <conditionalFormatting sqref="F59">
    <cfRule type="cellIs" dxfId="96" priority="99" operator="equal">
      <formula>0</formula>
    </cfRule>
  </conditionalFormatting>
  <conditionalFormatting sqref="F66">
    <cfRule type="cellIs" dxfId="95" priority="98" operator="equal">
      <formula>0</formula>
    </cfRule>
  </conditionalFormatting>
  <conditionalFormatting sqref="F73">
    <cfRule type="cellIs" dxfId="94" priority="97" operator="equal">
      <formula>0</formula>
    </cfRule>
  </conditionalFormatting>
  <conditionalFormatting sqref="F80">
    <cfRule type="cellIs" dxfId="93" priority="96" operator="equal">
      <formula>0</formula>
    </cfRule>
  </conditionalFormatting>
  <conditionalFormatting sqref="F87">
    <cfRule type="cellIs" dxfId="92" priority="95" operator="equal">
      <formula>0</formula>
    </cfRule>
  </conditionalFormatting>
  <conditionalFormatting sqref="F94">
    <cfRule type="cellIs" dxfId="91" priority="94" operator="equal">
      <formula>0</formula>
    </cfRule>
  </conditionalFormatting>
  <conditionalFormatting sqref="F101">
    <cfRule type="cellIs" dxfId="90" priority="93" operator="equal">
      <formula>0</formula>
    </cfRule>
  </conditionalFormatting>
  <conditionalFormatting sqref="F108">
    <cfRule type="cellIs" dxfId="89" priority="92" operator="equal">
      <formula>0</formula>
    </cfRule>
  </conditionalFormatting>
  <conditionalFormatting sqref="F115">
    <cfRule type="cellIs" dxfId="88" priority="91" operator="equal">
      <formula>0</formula>
    </cfRule>
  </conditionalFormatting>
  <conditionalFormatting sqref="F122">
    <cfRule type="cellIs" dxfId="87" priority="90" operator="equal">
      <formula>0</formula>
    </cfRule>
  </conditionalFormatting>
  <conditionalFormatting sqref="F129">
    <cfRule type="cellIs" dxfId="86" priority="89" operator="equal">
      <formula>0</formula>
    </cfRule>
  </conditionalFormatting>
  <conditionalFormatting sqref="F136">
    <cfRule type="cellIs" dxfId="85" priority="88" operator="equal">
      <formula>0</formula>
    </cfRule>
  </conditionalFormatting>
  <conditionalFormatting sqref="F143">
    <cfRule type="cellIs" dxfId="84" priority="87" operator="equal">
      <formula>0</formula>
    </cfRule>
  </conditionalFormatting>
  <conditionalFormatting sqref="F150">
    <cfRule type="cellIs" dxfId="83" priority="86" operator="equal">
      <formula>0</formula>
    </cfRule>
  </conditionalFormatting>
  <conditionalFormatting sqref="F157">
    <cfRule type="cellIs" dxfId="82" priority="85" operator="equal">
      <formula>0</formula>
    </cfRule>
  </conditionalFormatting>
  <conditionalFormatting sqref="F164">
    <cfRule type="cellIs" dxfId="81" priority="84" operator="equal">
      <formula>0</formula>
    </cfRule>
  </conditionalFormatting>
  <conditionalFormatting sqref="F171">
    <cfRule type="cellIs" dxfId="80" priority="83" operator="equal">
      <formula>0</formula>
    </cfRule>
  </conditionalFormatting>
  <conditionalFormatting sqref="F178">
    <cfRule type="cellIs" dxfId="79" priority="82" operator="equal">
      <formula>0</formula>
    </cfRule>
  </conditionalFormatting>
  <conditionalFormatting sqref="F185">
    <cfRule type="cellIs" dxfId="78" priority="81" operator="equal">
      <formula>0</formula>
    </cfRule>
  </conditionalFormatting>
  <conditionalFormatting sqref="F192">
    <cfRule type="cellIs" dxfId="77" priority="80" operator="equal">
      <formula>0</formula>
    </cfRule>
  </conditionalFormatting>
  <conditionalFormatting sqref="F199">
    <cfRule type="cellIs" dxfId="76" priority="79" operator="equal">
      <formula>0</formula>
    </cfRule>
  </conditionalFormatting>
  <conditionalFormatting sqref="F206">
    <cfRule type="cellIs" dxfId="75" priority="78" operator="equal">
      <formula>0</formula>
    </cfRule>
  </conditionalFormatting>
  <conditionalFormatting sqref="F213">
    <cfRule type="cellIs" dxfId="74" priority="77" operator="equal">
      <formula>0</formula>
    </cfRule>
  </conditionalFormatting>
  <conditionalFormatting sqref="F220">
    <cfRule type="cellIs" dxfId="73" priority="76" operator="equal">
      <formula>0</formula>
    </cfRule>
  </conditionalFormatting>
  <conditionalFormatting sqref="F227">
    <cfRule type="cellIs" dxfId="72" priority="75" operator="equal">
      <formula>0</formula>
    </cfRule>
  </conditionalFormatting>
  <conditionalFormatting sqref="F234">
    <cfRule type="cellIs" dxfId="71" priority="74" operator="equal">
      <formula>0</formula>
    </cfRule>
  </conditionalFormatting>
  <conditionalFormatting sqref="F241">
    <cfRule type="cellIs" dxfId="70" priority="73" operator="equal">
      <formula>0</formula>
    </cfRule>
  </conditionalFormatting>
  <conditionalFormatting sqref="F248">
    <cfRule type="cellIs" dxfId="69" priority="72" operator="equal">
      <formula>0</formula>
    </cfRule>
  </conditionalFormatting>
  <conditionalFormatting sqref="F255">
    <cfRule type="cellIs" dxfId="68" priority="71" operator="equal">
      <formula>0</formula>
    </cfRule>
  </conditionalFormatting>
  <conditionalFormatting sqref="F262">
    <cfRule type="cellIs" dxfId="67" priority="70" operator="equal">
      <formula>0</formula>
    </cfRule>
  </conditionalFormatting>
  <conditionalFormatting sqref="F269">
    <cfRule type="cellIs" dxfId="66" priority="69" operator="equal">
      <formula>0</formula>
    </cfRule>
  </conditionalFormatting>
  <conditionalFormatting sqref="F276">
    <cfRule type="cellIs" dxfId="65" priority="68" operator="equal">
      <formula>0</formula>
    </cfRule>
  </conditionalFormatting>
  <conditionalFormatting sqref="F283">
    <cfRule type="cellIs" dxfId="64" priority="67" operator="equal">
      <formula>0</formula>
    </cfRule>
  </conditionalFormatting>
  <conditionalFormatting sqref="F290">
    <cfRule type="cellIs" dxfId="63" priority="66" operator="equal">
      <formula>0</formula>
    </cfRule>
  </conditionalFormatting>
  <conditionalFormatting sqref="F297">
    <cfRule type="cellIs" dxfId="62" priority="65" operator="equal">
      <formula>0</formula>
    </cfRule>
  </conditionalFormatting>
  <conditionalFormatting sqref="F304">
    <cfRule type="cellIs" dxfId="61" priority="64" operator="equal">
      <formula>0</formula>
    </cfRule>
  </conditionalFormatting>
  <conditionalFormatting sqref="F367">
    <cfRule type="cellIs" dxfId="60" priority="55" operator="equal">
      <formula>0</formula>
    </cfRule>
  </conditionalFormatting>
  <conditionalFormatting sqref="F311">
    <cfRule type="cellIs" dxfId="59" priority="63" operator="equal">
      <formula>0</formula>
    </cfRule>
  </conditionalFormatting>
  <conditionalFormatting sqref="F318">
    <cfRule type="cellIs" dxfId="58" priority="62" operator="equal">
      <formula>0</formula>
    </cfRule>
  </conditionalFormatting>
  <conditionalFormatting sqref="F325">
    <cfRule type="cellIs" dxfId="57" priority="61" operator="equal">
      <formula>0</formula>
    </cfRule>
  </conditionalFormatting>
  <conditionalFormatting sqref="F339">
    <cfRule type="cellIs" dxfId="56" priority="59" operator="equal">
      <formula>0</formula>
    </cfRule>
  </conditionalFormatting>
  <conditionalFormatting sqref="F346">
    <cfRule type="cellIs" dxfId="55" priority="58" operator="equal">
      <formula>0</formula>
    </cfRule>
  </conditionalFormatting>
  <conditionalFormatting sqref="F353">
    <cfRule type="cellIs" dxfId="54" priority="57" operator="equal">
      <formula>0</formula>
    </cfRule>
  </conditionalFormatting>
  <conditionalFormatting sqref="F360">
    <cfRule type="cellIs" dxfId="53" priority="56" operator="equal">
      <formula>0</formula>
    </cfRule>
  </conditionalFormatting>
  <conditionalFormatting sqref="H367">
    <cfRule type="cellIs" dxfId="52" priority="4" operator="equal">
      <formula>0.007</formula>
    </cfRule>
  </conditionalFormatting>
  <conditionalFormatting sqref="G10">
    <cfRule type="cellIs" dxfId="51" priority="54" operator="equal">
      <formula>0</formula>
    </cfRule>
  </conditionalFormatting>
  <conditionalFormatting sqref="H38">
    <cfRule type="cellIs" dxfId="50" priority="51" operator="equal">
      <formula>0.007</formula>
    </cfRule>
  </conditionalFormatting>
  <conditionalFormatting sqref="H31">
    <cfRule type="cellIs" dxfId="49" priority="52" operator="equal">
      <formula>0.007</formula>
    </cfRule>
  </conditionalFormatting>
  <conditionalFormatting sqref="H45">
    <cfRule type="cellIs" dxfId="48" priority="50" operator="equal">
      <formula>0.007</formula>
    </cfRule>
  </conditionalFormatting>
  <conditionalFormatting sqref="H52">
    <cfRule type="cellIs" dxfId="47" priority="49" operator="equal">
      <formula>0.007</formula>
    </cfRule>
  </conditionalFormatting>
  <conditionalFormatting sqref="H59">
    <cfRule type="cellIs" dxfId="46" priority="48" operator="equal">
      <formula>0.007</formula>
    </cfRule>
  </conditionalFormatting>
  <conditionalFormatting sqref="H66">
    <cfRule type="cellIs" dxfId="45" priority="47" operator="equal">
      <formula>0.007</formula>
    </cfRule>
  </conditionalFormatting>
  <conditionalFormatting sqref="H73">
    <cfRule type="cellIs" dxfId="44" priority="46" operator="equal">
      <formula>0.007</formula>
    </cfRule>
  </conditionalFormatting>
  <conditionalFormatting sqref="H80">
    <cfRule type="cellIs" dxfId="43" priority="45" operator="equal">
      <formula>0.007</formula>
    </cfRule>
  </conditionalFormatting>
  <conditionalFormatting sqref="H87">
    <cfRule type="cellIs" dxfId="42" priority="44" operator="equal">
      <formula>0.007</formula>
    </cfRule>
  </conditionalFormatting>
  <conditionalFormatting sqref="H94">
    <cfRule type="cellIs" dxfId="41" priority="43" operator="equal">
      <formula>0.007</formula>
    </cfRule>
  </conditionalFormatting>
  <conditionalFormatting sqref="H101">
    <cfRule type="cellIs" dxfId="40" priority="42" operator="equal">
      <formula>0.007</formula>
    </cfRule>
  </conditionalFormatting>
  <conditionalFormatting sqref="H108">
    <cfRule type="cellIs" dxfId="39" priority="41" operator="equal">
      <formula>0.007</formula>
    </cfRule>
  </conditionalFormatting>
  <conditionalFormatting sqref="H115">
    <cfRule type="cellIs" dxfId="38" priority="40" operator="equal">
      <formula>0.007</formula>
    </cfRule>
  </conditionalFormatting>
  <conditionalFormatting sqref="H122">
    <cfRule type="cellIs" dxfId="37" priority="39" operator="equal">
      <formula>0.007</formula>
    </cfRule>
  </conditionalFormatting>
  <conditionalFormatting sqref="H129">
    <cfRule type="cellIs" dxfId="36" priority="38" operator="equal">
      <formula>0.007</formula>
    </cfRule>
  </conditionalFormatting>
  <conditionalFormatting sqref="H136">
    <cfRule type="cellIs" dxfId="35" priority="37" operator="equal">
      <formula>0.007</formula>
    </cfRule>
  </conditionalFormatting>
  <conditionalFormatting sqref="H143">
    <cfRule type="cellIs" dxfId="34" priority="36" operator="equal">
      <formula>0.007</formula>
    </cfRule>
  </conditionalFormatting>
  <conditionalFormatting sqref="H150">
    <cfRule type="cellIs" dxfId="33" priority="35" operator="equal">
      <formula>0.007</formula>
    </cfRule>
  </conditionalFormatting>
  <conditionalFormatting sqref="H157">
    <cfRule type="cellIs" dxfId="32" priority="34" operator="equal">
      <formula>0.007</formula>
    </cfRule>
  </conditionalFormatting>
  <conditionalFormatting sqref="H164">
    <cfRule type="cellIs" dxfId="31" priority="33" operator="equal">
      <formula>0.007</formula>
    </cfRule>
  </conditionalFormatting>
  <conditionalFormatting sqref="H171">
    <cfRule type="cellIs" dxfId="30" priority="32" operator="equal">
      <formula>0.007</formula>
    </cfRule>
  </conditionalFormatting>
  <conditionalFormatting sqref="H178">
    <cfRule type="cellIs" dxfId="29" priority="31" operator="equal">
      <formula>0.007</formula>
    </cfRule>
  </conditionalFormatting>
  <conditionalFormatting sqref="H185">
    <cfRule type="cellIs" dxfId="28" priority="30" operator="equal">
      <formula>0.007</formula>
    </cfRule>
  </conditionalFormatting>
  <conditionalFormatting sqref="H192">
    <cfRule type="cellIs" dxfId="27" priority="29" operator="equal">
      <formula>0.007</formula>
    </cfRule>
  </conditionalFormatting>
  <conditionalFormatting sqref="H199">
    <cfRule type="cellIs" dxfId="26" priority="28" operator="equal">
      <formula>0.007</formula>
    </cfRule>
  </conditionalFormatting>
  <conditionalFormatting sqref="H206">
    <cfRule type="cellIs" dxfId="25" priority="27" operator="equal">
      <formula>0.007</formula>
    </cfRule>
  </conditionalFormatting>
  <conditionalFormatting sqref="H213">
    <cfRule type="cellIs" dxfId="24" priority="26" operator="equal">
      <formula>0.007</formula>
    </cfRule>
  </conditionalFormatting>
  <conditionalFormatting sqref="H220">
    <cfRule type="cellIs" dxfId="23" priority="25" operator="equal">
      <formula>0.007</formula>
    </cfRule>
  </conditionalFormatting>
  <conditionalFormatting sqref="H227">
    <cfRule type="cellIs" dxfId="22" priority="24" operator="equal">
      <formula>0.007</formula>
    </cfRule>
  </conditionalFormatting>
  <conditionalFormatting sqref="H234">
    <cfRule type="cellIs" dxfId="21" priority="23" operator="equal">
      <formula>0.007</formula>
    </cfRule>
  </conditionalFormatting>
  <conditionalFormatting sqref="H241">
    <cfRule type="cellIs" dxfId="20" priority="22" operator="equal">
      <formula>0.007</formula>
    </cfRule>
  </conditionalFormatting>
  <conditionalFormatting sqref="H248">
    <cfRule type="cellIs" dxfId="19" priority="21" operator="equal">
      <formula>0.007</formula>
    </cfRule>
  </conditionalFormatting>
  <conditionalFormatting sqref="H255">
    <cfRule type="cellIs" dxfId="18" priority="20" operator="equal">
      <formula>0.007</formula>
    </cfRule>
  </conditionalFormatting>
  <conditionalFormatting sqref="H262">
    <cfRule type="cellIs" dxfId="17" priority="19" operator="equal">
      <formula>0.007</formula>
    </cfRule>
  </conditionalFormatting>
  <conditionalFormatting sqref="H269">
    <cfRule type="cellIs" dxfId="16" priority="18" operator="equal">
      <formula>0.007</formula>
    </cfRule>
  </conditionalFormatting>
  <conditionalFormatting sqref="H276">
    <cfRule type="cellIs" dxfId="15" priority="17" operator="equal">
      <formula>0.007</formula>
    </cfRule>
  </conditionalFormatting>
  <conditionalFormatting sqref="H283">
    <cfRule type="cellIs" dxfId="14" priority="16" operator="equal">
      <formula>0.007</formula>
    </cfRule>
  </conditionalFormatting>
  <conditionalFormatting sqref="H290">
    <cfRule type="cellIs" dxfId="13" priority="15" operator="equal">
      <formula>0.007</formula>
    </cfRule>
  </conditionalFormatting>
  <conditionalFormatting sqref="H297">
    <cfRule type="cellIs" dxfId="12" priority="14" operator="equal">
      <formula>0.007</formula>
    </cfRule>
  </conditionalFormatting>
  <conditionalFormatting sqref="H304">
    <cfRule type="cellIs" dxfId="11" priority="13" operator="equal">
      <formula>0.007</formula>
    </cfRule>
  </conditionalFormatting>
  <conditionalFormatting sqref="H311">
    <cfRule type="cellIs" dxfId="10" priority="12" operator="equal">
      <formula>0.007</formula>
    </cfRule>
  </conditionalFormatting>
  <conditionalFormatting sqref="H318">
    <cfRule type="cellIs" dxfId="9" priority="11" operator="equal">
      <formula>0.007</formula>
    </cfRule>
  </conditionalFormatting>
  <conditionalFormatting sqref="H325">
    <cfRule type="cellIs" dxfId="8" priority="10" operator="equal">
      <formula>0.007</formula>
    </cfRule>
  </conditionalFormatting>
  <conditionalFormatting sqref="H332">
    <cfRule type="cellIs" dxfId="7" priority="9" operator="equal">
      <formula>0.007</formula>
    </cfRule>
  </conditionalFormatting>
  <conditionalFormatting sqref="H339">
    <cfRule type="cellIs" dxfId="6" priority="8" operator="equal">
      <formula>0.007</formula>
    </cfRule>
  </conditionalFormatting>
  <conditionalFormatting sqref="H346">
    <cfRule type="cellIs" dxfId="5" priority="7" operator="equal">
      <formula>0.007</formula>
    </cfRule>
  </conditionalFormatting>
  <conditionalFormatting sqref="H353">
    <cfRule type="cellIs" dxfId="4" priority="6" operator="equal">
      <formula>0.007</formula>
    </cfRule>
  </conditionalFormatting>
  <conditionalFormatting sqref="H360">
    <cfRule type="cellIs" dxfId="3" priority="5" operator="equal">
      <formula>0.007</formula>
    </cfRule>
  </conditionalFormatting>
  <conditionalFormatting sqref="H17">
    <cfRule type="cellIs" dxfId="2" priority="3" operator="equal">
      <formula>0.007</formula>
    </cfRule>
  </conditionalFormatting>
  <conditionalFormatting sqref="H24">
    <cfRule type="cellIs" dxfId="1" priority="2" operator="equal">
      <formula>0.007</formula>
    </cfRule>
  </conditionalFormatting>
  <conditionalFormatting sqref="O3">
    <cfRule type="cellIs" dxfId="0" priority="1" operator="equal">
      <formula>0</formula>
    </cfRule>
  </conditionalFormatting>
  <pageMargins left="0.7" right="0.7" top="0.75" bottom="0.75" header="0.3" footer="0.3"/>
  <pageSetup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7" sqref="A27"/>
    </sheetView>
  </sheetViews>
  <sheetFormatPr baseColWidth="10" defaultColWidth="8.83203125" defaultRowHeight="14" x14ac:dyDescent="0"/>
  <sheetData/>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selection activeCell="J18" sqref="J18"/>
    </sheetView>
  </sheetViews>
  <sheetFormatPr baseColWidth="10" defaultColWidth="8.83203125" defaultRowHeight="14" x14ac:dyDescent="0"/>
  <cols>
    <col min="1" max="1" width="11.5" bestFit="1" customWidth="1"/>
    <col min="2" max="2" width="18.6640625" bestFit="1" customWidth="1"/>
    <col min="3" max="3" width="9.33203125" bestFit="1" customWidth="1"/>
    <col min="4" max="4" width="9.6640625" bestFit="1" customWidth="1"/>
    <col min="6" max="6" width="13.5" bestFit="1" customWidth="1"/>
    <col min="7" max="7" width="12.6640625" bestFit="1" customWidth="1"/>
    <col min="8" max="8" width="23.5" bestFit="1" customWidth="1"/>
    <col min="9" max="9" width="36.83203125" bestFit="1" customWidth="1"/>
    <col min="11" max="11" width="9.33203125" bestFit="1" customWidth="1"/>
    <col min="12" max="12" width="9.83203125" bestFit="1" customWidth="1"/>
  </cols>
  <sheetData>
    <row r="1" spans="1:12" ht="15" thickBot="1">
      <c r="A1" s="61" t="s">
        <v>81</v>
      </c>
      <c r="B1" s="62" t="s">
        <v>0</v>
      </c>
      <c r="C1" s="62" t="s">
        <v>80</v>
      </c>
      <c r="D1" s="62" t="s">
        <v>79</v>
      </c>
      <c r="E1" s="63" t="s">
        <v>55</v>
      </c>
      <c r="F1" s="63" t="s">
        <v>56</v>
      </c>
      <c r="G1" s="63" t="s">
        <v>57</v>
      </c>
      <c r="H1" s="63" t="s">
        <v>58</v>
      </c>
      <c r="I1" s="64" t="s">
        <v>59</v>
      </c>
    </row>
    <row r="2" spans="1:12">
      <c r="A2" s="36" t="s">
        <v>45</v>
      </c>
      <c r="B2" s="55">
        <f t="shared" ref="B2:B13" si="0">B3-1</f>
        <v>42177</v>
      </c>
      <c r="C2" s="126">
        <v>12</v>
      </c>
      <c r="D2" s="36" t="s">
        <v>51</v>
      </c>
      <c r="E2" s="36" t="s">
        <v>60</v>
      </c>
      <c r="F2" s="36" t="s">
        <v>64</v>
      </c>
      <c r="G2" s="36" t="s">
        <v>64</v>
      </c>
      <c r="H2" s="36" t="s">
        <v>64</v>
      </c>
      <c r="I2" s="36" t="s">
        <v>76</v>
      </c>
      <c r="K2" t="s">
        <v>49</v>
      </c>
      <c r="L2" s="130">
        <v>42189</v>
      </c>
    </row>
    <row r="3" spans="1:12">
      <c r="A3" s="42" t="s">
        <v>43</v>
      </c>
      <c r="B3" s="56">
        <f t="shared" si="0"/>
        <v>42178</v>
      </c>
      <c r="C3" s="58">
        <v>11</v>
      </c>
      <c r="D3" s="42" t="s">
        <v>52</v>
      </c>
      <c r="E3" s="42" t="s">
        <v>60</v>
      </c>
      <c r="F3" s="42" t="s">
        <v>64</v>
      </c>
      <c r="G3" s="42" t="s">
        <v>64</v>
      </c>
      <c r="H3" s="42" t="s">
        <v>64</v>
      </c>
      <c r="I3" s="42" t="s">
        <v>76</v>
      </c>
      <c r="K3" s="6" t="s">
        <v>98</v>
      </c>
      <c r="L3" s="129">
        <f ca="1">L2-TODAY()</f>
        <v>40</v>
      </c>
    </row>
    <row r="4" spans="1:12">
      <c r="A4" s="35" t="s">
        <v>44</v>
      </c>
      <c r="B4" s="55">
        <f t="shared" si="0"/>
        <v>42179</v>
      </c>
      <c r="C4" s="127">
        <v>10</v>
      </c>
      <c r="D4" s="35" t="s">
        <v>53</v>
      </c>
      <c r="E4" s="35" t="s">
        <v>60</v>
      </c>
      <c r="F4" s="35" t="s">
        <v>64</v>
      </c>
      <c r="G4" s="35" t="s">
        <v>64</v>
      </c>
      <c r="H4" s="35" t="s">
        <v>64</v>
      </c>
      <c r="I4" s="35" t="s">
        <v>76</v>
      </c>
      <c r="K4" t="s">
        <v>99</v>
      </c>
      <c r="L4" s="4">
        <f ca="1">L3/7</f>
        <v>5.7142857142857144</v>
      </c>
    </row>
    <row r="5" spans="1:12">
      <c r="A5" s="42" t="s">
        <v>46</v>
      </c>
      <c r="B5" s="56">
        <f t="shared" si="0"/>
        <v>42180</v>
      </c>
      <c r="C5" s="58">
        <v>9</v>
      </c>
      <c r="D5" s="42"/>
      <c r="E5" s="42" t="s">
        <v>60</v>
      </c>
      <c r="F5" s="42" t="s">
        <v>64</v>
      </c>
      <c r="G5" s="42" t="s">
        <v>64</v>
      </c>
      <c r="H5" s="42" t="s">
        <v>64</v>
      </c>
      <c r="I5" s="42" t="s">
        <v>76</v>
      </c>
    </row>
    <row r="6" spans="1:12">
      <c r="A6" s="35" t="s">
        <v>40</v>
      </c>
      <c r="B6" s="55">
        <f t="shared" si="0"/>
        <v>42181</v>
      </c>
      <c r="C6" s="127">
        <v>8</v>
      </c>
      <c r="D6" s="35" t="s">
        <v>54</v>
      </c>
      <c r="E6" s="35" t="s">
        <v>60</v>
      </c>
      <c r="F6" s="35" t="s">
        <v>64</v>
      </c>
      <c r="G6" s="35" t="s">
        <v>69</v>
      </c>
      <c r="H6" s="35" t="s">
        <v>64</v>
      </c>
      <c r="I6" s="35" t="s">
        <v>76</v>
      </c>
    </row>
    <row r="7" spans="1:12">
      <c r="A7" s="42" t="s">
        <v>47</v>
      </c>
      <c r="B7" s="56">
        <f t="shared" si="0"/>
        <v>42182</v>
      </c>
      <c r="C7" s="58">
        <v>7</v>
      </c>
      <c r="D7" s="42"/>
      <c r="E7" s="42" t="s">
        <v>60</v>
      </c>
      <c r="F7" s="42" t="s">
        <v>64</v>
      </c>
      <c r="G7" s="42" t="s">
        <v>64</v>
      </c>
      <c r="H7" s="42" t="s">
        <v>64</v>
      </c>
      <c r="I7" s="42" t="s">
        <v>76</v>
      </c>
    </row>
    <row r="8" spans="1:12">
      <c r="A8" s="35" t="s">
        <v>41</v>
      </c>
      <c r="B8" s="55">
        <f t="shared" si="0"/>
        <v>42183</v>
      </c>
      <c r="C8" s="127">
        <v>6</v>
      </c>
      <c r="D8" s="35"/>
      <c r="E8" s="35" t="s">
        <v>60</v>
      </c>
      <c r="F8" s="35" t="s">
        <v>64</v>
      </c>
      <c r="G8" s="35" t="s">
        <v>64</v>
      </c>
      <c r="H8" s="35" t="s">
        <v>64</v>
      </c>
      <c r="I8" s="35" t="s">
        <v>76</v>
      </c>
    </row>
    <row r="9" spans="1:12">
      <c r="A9" s="42" t="s">
        <v>45</v>
      </c>
      <c r="B9" s="56">
        <f t="shared" si="0"/>
        <v>42184</v>
      </c>
      <c r="C9" s="58">
        <v>5</v>
      </c>
      <c r="D9" s="42" t="s">
        <v>48</v>
      </c>
      <c r="E9" s="42" t="s">
        <v>60</v>
      </c>
      <c r="F9" s="42" t="s">
        <v>64</v>
      </c>
      <c r="G9" s="42" t="s">
        <v>69</v>
      </c>
      <c r="H9" s="42" t="s">
        <v>64</v>
      </c>
      <c r="I9" s="42" t="s">
        <v>76</v>
      </c>
    </row>
    <row r="10" spans="1:12">
      <c r="A10" s="35" t="s">
        <v>43</v>
      </c>
      <c r="B10" s="55">
        <f t="shared" si="0"/>
        <v>42185</v>
      </c>
      <c r="C10" s="127">
        <v>4</v>
      </c>
      <c r="D10" s="35"/>
      <c r="E10" s="35" t="s">
        <v>61</v>
      </c>
      <c r="F10" s="35" t="s">
        <v>67</v>
      </c>
      <c r="G10" s="35" t="s">
        <v>64</v>
      </c>
      <c r="H10" s="35" t="s">
        <v>71</v>
      </c>
      <c r="I10" s="35" t="s">
        <v>97</v>
      </c>
    </row>
    <row r="11" spans="1:12">
      <c r="A11" s="42" t="s">
        <v>44</v>
      </c>
      <c r="B11" s="56">
        <f t="shared" si="0"/>
        <v>42186</v>
      </c>
      <c r="C11" s="58">
        <v>3</v>
      </c>
      <c r="D11" s="42" t="s">
        <v>50</v>
      </c>
      <c r="E11" s="42" t="s">
        <v>61</v>
      </c>
      <c r="F11" s="42" t="s">
        <v>67</v>
      </c>
      <c r="G11" s="42" t="str">
        <f>MROUND(0.5*INPUTS!C14,1)&amp;"g"</f>
        <v>111g</v>
      </c>
      <c r="H11" s="42" t="s">
        <v>71</v>
      </c>
      <c r="I11" s="42" t="s">
        <v>75</v>
      </c>
      <c r="K11" s="6"/>
    </row>
    <row r="12" spans="1:12">
      <c r="A12" s="54" t="s">
        <v>46</v>
      </c>
      <c r="B12" s="55">
        <f t="shared" si="0"/>
        <v>42187</v>
      </c>
      <c r="C12" s="57">
        <v>2</v>
      </c>
      <c r="D12" s="54"/>
      <c r="E12" s="54" t="s">
        <v>60</v>
      </c>
      <c r="F12" s="54" t="s">
        <v>68</v>
      </c>
      <c r="G12" s="54" t="str">
        <f>MROUND(0.25*INPUTS!C14,1)&amp;"g"</f>
        <v>56g</v>
      </c>
      <c r="H12" s="54" t="s">
        <v>72</v>
      </c>
      <c r="I12" s="54" t="s">
        <v>74</v>
      </c>
      <c r="J12" s="60"/>
      <c r="K12" s="6"/>
    </row>
    <row r="13" spans="1:12">
      <c r="A13" s="42" t="s">
        <v>40</v>
      </c>
      <c r="B13" s="56">
        <f t="shared" si="0"/>
        <v>42188</v>
      </c>
      <c r="C13" s="58">
        <v>1</v>
      </c>
      <c r="D13" s="42"/>
      <c r="E13" s="42" t="s">
        <v>62</v>
      </c>
      <c r="F13" s="42" t="s">
        <v>68</v>
      </c>
      <c r="G13" s="42" t="s">
        <v>70</v>
      </c>
      <c r="H13" s="42" t="s">
        <v>73</v>
      </c>
      <c r="I13" s="42"/>
      <c r="K13" s="6"/>
    </row>
    <row r="14" spans="1:12">
      <c r="A14" s="52" t="s">
        <v>47</v>
      </c>
      <c r="B14" s="53">
        <f>L2</f>
        <v>42189</v>
      </c>
      <c r="C14" s="59" t="s">
        <v>49</v>
      </c>
      <c r="D14" s="52" t="s">
        <v>63</v>
      </c>
      <c r="E14" s="52"/>
      <c r="F14" s="52"/>
      <c r="G14" s="52"/>
      <c r="H14" s="52"/>
      <c r="I14" s="52"/>
    </row>
    <row r="16" spans="1:12">
      <c r="A16" t="s">
        <v>65</v>
      </c>
    </row>
    <row r="17" spans="1:1">
      <c r="A17" t="s">
        <v>66</v>
      </c>
    </row>
    <row r="18" spans="1:1">
      <c r="A18" t="s">
        <v>78</v>
      </c>
    </row>
    <row r="19" spans="1:1">
      <c r="A19" t="s">
        <v>77</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99"/>
  <sheetViews>
    <sheetView tabSelected="1" workbookViewId="0">
      <selection activeCell="B7" sqref="B7"/>
    </sheetView>
  </sheetViews>
  <sheetFormatPr baseColWidth="10" defaultColWidth="8.83203125" defaultRowHeight="14" x14ac:dyDescent="0"/>
  <cols>
    <col min="1" max="13" width="8.83203125" style="75"/>
    <col min="22" max="59" width="8.83203125" style="75"/>
  </cols>
  <sheetData>
    <row r="1" spans="1:23" s="75" customFormat="1" ht="15" thickBot="1">
      <c r="A1" s="188" t="s">
        <v>42</v>
      </c>
      <c r="B1" s="189"/>
      <c r="C1" s="189"/>
      <c r="D1" s="189"/>
      <c r="E1" s="189"/>
      <c r="F1" s="189"/>
      <c r="G1" s="189"/>
      <c r="H1" s="189"/>
      <c r="I1" s="189"/>
      <c r="J1" s="189"/>
      <c r="K1" s="190"/>
      <c r="M1" s="84"/>
      <c r="N1" s="89">
        <v>1</v>
      </c>
      <c r="O1" s="89">
        <v>2</v>
      </c>
      <c r="P1" s="89">
        <v>3</v>
      </c>
      <c r="Q1" s="89">
        <v>4</v>
      </c>
      <c r="R1" s="89">
        <v>5</v>
      </c>
      <c r="S1" s="89">
        <v>6</v>
      </c>
      <c r="T1" s="89">
        <v>7</v>
      </c>
      <c r="U1" s="89">
        <v>8</v>
      </c>
      <c r="V1" s="89">
        <v>9</v>
      </c>
      <c r="W1" s="90">
        <v>10</v>
      </c>
    </row>
    <row r="2" spans="1:23" ht="15" thickBot="1">
      <c r="A2" s="71" t="s">
        <v>82</v>
      </c>
      <c r="B2" s="186" t="s">
        <v>83</v>
      </c>
      <c r="C2" s="186"/>
      <c r="D2" s="186"/>
      <c r="E2" s="186"/>
      <c r="F2" s="186"/>
      <c r="G2" s="186"/>
      <c r="H2" s="186"/>
      <c r="I2" s="186"/>
      <c r="J2" s="186"/>
      <c r="K2" s="187"/>
      <c r="M2" s="77">
        <v>10</v>
      </c>
      <c r="N2" s="45">
        <v>1</v>
      </c>
      <c r="O2" s="45">
        <v>0.96</v>
      </c>
      <c r="P2" s="45">
        <v>0.92</v>
      </c>
      <c r="Q2" s="45">
        <v>0.89</v>
      </c>
      <c r="R2" s="88">
        <v>0.86</v>
      </c>
      <c r="S2" s="88">
        <v>0.84</v>
      </c>
      <c r="T2" s="46">
        <v>0.81</v>
      </c>
      <c r="U2" s="46">
        <v>0.79</v>
      </c>
      <c r="V2" s="88">
        <v>0.76</v>
      </c>
      <c r="W2" s="109">
        <v>0.74</v>
      </c>
    </row>
    <row r="3" spans="1:23">
      <c r="A3" s="72"/>
      <c r="B3" s="85">
        <v>10</v>
      </c>
      <c r="C3" s="86">
        <v>9</v>
      </c>
      <c r="D3" s="86">
        <v>8</v>
      </c>
      <c r="E3" s="86">
        <v>7</v>
      </c>
      <c r="F3" s="86">
        <v>6</v>
      </c>
      <c r="G3" s="86">
        <v>5</v>
      </c>
      <c r="H3" s="86">
        <v>4</v>
      </c>
      <c r="I3" s="86">
        <v>3</v>
      </c>
      <c r="J3" s="86">
        <v>2</v>
      </c>
      <c r="K3" s="86">
        <v>1</v>
      </c>
      <c r="M3" s="77">
        <v>9.5</v>
      </c>
      <c r="N3" s="45">
        <v>0.98</v>
      </c>
      <c r="O3" s="45">
        <v>0.94</v>
      </c>
      <c r="P3" s="45">
        <v>0.91</v>
      </c>
      <c r="Q3" s="88">
        <v>0.88</v>
      </c>
      <c r="R3" s="88">
        <v>0.85</v>
      </c>
      <c r="S3" s="88">
        <v>0.82</v>
      </c>
      <c r="T3" s="46">
        <v>0.8</v>
      </c>
      <c r="U3" s="88">
        <v>0.77</v>
      </c>
      <c r="V3" s="88">
        <v>0.75</v>
      </c>
      <c r="W3" s="109">
        <v>0.72</v>
      </c>
    </row>
    <row r="4" spans="1:23">
      <c r="A4" s="73" t="s">
        <v>36</v>
      </c>
      <c r="B4" s="70">
        <v>500</v>
      </c>
      <c r="C4" s="42"/>
      <c r="D4" s="42"/>
      <c r="E4" s="42"/>
      <c r="F4" s="42"/>
      <c r="G4" s="42"/>
      <c r="H4" s="42"/>
      <c r="I4" s="42"/>
      <c r="J4" s="42"/>
      <c r="K4" s="42"/>
      <c r="M4" s="77">
        <v>9</v>
      </c>
      <c r="N4" s="45">
        <v>0.96</v>
      </c>
      <c r="O4" s="45">
        <v>0.92</v>
      </c>
      <c r="P4" s="45">
        <v>0.89</v>
      </c>
      <c r="Q4" s="88">
        <v>0.86</v>
      </c>
      <c r="R4" s="88">
        <v>0.84</v>
      </c>
      <c r="S4" s="46">
        <v>0.81</v>
      </c>
      <c r="T4" s="46">
        <v>0.79</v>
      </c>
      <c r="U4" s="88">
        <v>0.76</v>
      </c>
      <c r="V4" s="88">
        <v>0.74</v>
      </c>
      <c r="W4" s="109">
        <v>0.71</v>
      </c>
    </row>
    <row r="5" spans="1:23">
      <c r="A5" s="73" t="s">
        <v>37</v>
      </c>
      <c r="B5" s="70">
        <v>315</v>
      </c>
      <c r="C5" s="42"/>
      <c r="D5" s="42"/>
      <c r="E5" s="42"/>
      <c r="F5" s="42"/>
      <c r="G5" s="42"/>
      <c r="H5" s="42"/>
      <c r="I5" s="42"/>
      <c r="J5" s="42"/>
      <c r="K5" s="42"/>
      <c r="M5" s="77">
        <v>8.5</v>
      </c>
      <c r="N5" s="45">
        <v>0.94</v>
      </c>
      <c r="O5" s="45">
        <v>0.91</v>
      </c>
      <c r="P5" s="88">
        <v>0.88</v>
      </c>
      <c r="Q5" s="88">
        <v>0.85</v>
      </c>
      <c r="R5" s="88">
        <v>0.82</v>
      </c>
      <c r="S5" s="46">
        <v>0.8</v>
      </c>
      <c r="T5" s="41">
        <v>0.77</v>
      </c>
      <c r="U5" s="88">
        <v>0.75</v>
      </c>
      <c r="V5" s="88">
        <v>0.72</v>
      </c>
      <c r="W5" s="109">
        <v>0.69</v>
      </c>
    </row>
    <row r="6" spans="1:23" ht="15" thickBot="1">
      <c r="A6" s="74" t="s">
        <v>38</v>
      </c>
      <c r="B6" s="70">
        <v>500</v>
      </c>
      <c r="C6" s="42"/>
      <c r="D6" s="42"/>
      <c r="E6" s="42"/>
      <c r="F6" s="42"/>
      <c r="G6" s="42"/>
      <c r="H6" s="42"/>
      <c r="I6" s="42"/>
      <c r="J6" s="42"/>
      <c r="K6" s="42"/>
      <c r="M6" s="77">
        <v>8</v>
      </c>
      <c r="N6" s="45">
        <v>0.92</v>
      </c>
      <c r="O6" s="45">
        <v>0.89</v>
      </c>
      <c r="P6" s="88">
        <v>0.86</v>
      </c>
      <c r="Q6" s="88">
        <v>0.84</v>
      </c>
      <c r="R6" s="46">
        <v>0.81</v>
      </c>
      <c r="S6" s="46">
        <v>0.79</v>
      </c>
      <c r="T6" s="88">
        <v>0.76</v>
      </c>
      <c r="U6" s="88">
        <v>0.74</v>
      </c>
      <c r="V6" s="88">
        <v>0.71</v>
      </c>
      <c r="W6" s="109">
        <v>0.68</v>
      </c>
    </row>
    <row r="7" spans="1:23" ht="15" thickBot="1">
      <c r="M7" s="77">
        <v>7.5</v>
      </c>
      <c r="N7" s="45">
        <v>0.91</v>
      </c>
      <c r="O7" s="88">
        <v>0.88</v>
      </c>
      <c r="P7" s="88">
        <v>0.85</v>
      </c>
      <c r="Q7" s="88">
        <v>0.82</v>
      </c>
      <c r="R7" s="46">
        <v>0.8</v>
      </c>
      <c r="S7" s="88">
        <v>0.77</v>
      </c>
      <c r="T7" s="88">
        <v>0.75</v>
      </c>
      <c r="U7" s="88">
        <v>0.72</v>
      </c>
      <c r="V7" s="88">
        <v>0.69</v>
      </c>
      <c r="W7" s="109">
        <v>0.67</v>
      </c>
    </row>
    <row r="8" spans="1:23" ht="15" thickBot="1">
      <c r="A8" s="188" t="s">
        <v>42</v>
      </c>
      <c r="B8" s="190"/>
      <c r="D8" s="188" t="s">
        <v>90</v>
      </c>
      <c r="E8" s="190"/>
      <c r="G8" s="106" t="s">
        <v>92</v>
      </c>
      <c r="I8" s="75" t="s">
        <v>102</v>
      </c>
      <c r="M8" s="77">
        <v>7</v>
      </c>
      <c r="N8" s="45">
        <v>0.89</v>
      </c>
      <c r="O8" s="88">
        <v>0.86</v>
      </c>
      <c r="P8" s="88">
        <v>0.84</v>
      </c>
      <c r="Q8" s="46">
        <v>0.81</v>
      </c>
      <c r="R8" s="46">
        <v>0.79</v>
      </c>
      <c r="S8" s="88">
        <v>0.76</v>
      </c>
      <c r="T8" s="88">
        <v>0.74</v>
      </c>
      <c r="U8" s="88">
        <v>0.71</v>
      </c>
      <c r="V8" s="88">
        <v>0.68</v>
      </c>
      <c r="W8" s="109">
        <v>0.65</v>
      </c>
    </row>
    <row r="9" spans="1:23" ht="15" thickBot="1">
      <c r="A9" s="76" t="s">
        <v>36</v>
      </c>
      <c r="B9" s="92">
        <f>MAX(B4:K4)</f>
        <v>500</v>
      </c>
      <c r="D9" s="76" t="s">
        <v>36</v>
      </c>
      <c r="E9" s="93">
        <f>B9*G9</f>
        <v>490</v>
      </c>
      <c r="G9" s="67">
        <v>0.98</v>
      </c>
      <c r="I9" s="25">
        <v>83</v>
      </c>
      <c r="J9" s="75" t="s">
        <v>103</v>
      </c>
      <c r="M9" s="78">
        <v>6.5</v>
      </c>
      <c r="N9" s="87">
        <v>0.88</v>
      </c>
      <c r="O9" s="87">
        <v>0.85</v>
      </c>
      <c r="P9" s="87">
        <v>0.82</v>
      </c>
      <c r="Q9" s="47">
        <v>0.8</v>
      </c>
      <c r="R9" s="87">
        <v>0.77</v>
      </c>
      <c r="S9" s="87">
        <v>0.75</v>
      </c>
      <c r="T9" s="87">
        <v>0.72</v>
      </c>
      <c r="U9" s="87">
        <v>0.69</v>
      </c>
      <c r="V9" s="87">
        <v>0.67</v>
      </c>
      <c r="W9" s="110">
        <v>0.64</v>
      </c>
    </row>
    <row r="10" spans="1:23" ht="15" thickBot="1">
      <c r="A10" s="77" t="s">
        <v>37</v>
      </c>
      <c r="B10" s="93">
        <f>MAX(B5:K5)</f>
        <v>315</v>
      </c>
      <c r="D10" s="77" t="s">
        <v>37</v>
      </c>
      <c r="E10" s="93">
        <f>B10*G10</f>
        <v>299.25</v>
      </c>
      <c r="G10" s="65">
        <v>0.95</v>
      </c>
    </row>
    <row r="11" spans="1:23" ht="15" thickBot="1">
      <c r="A11" s="78" t="s">
        <v>38</v>
      </c>
      <c r="B11" s="94">
        <f>MAX(B6:K6)</f>
        <v>500</v>
      </c>
      <c r="D11" s="78" t="s">
        <v>38</v>
      </c>
      <c r="E11" s="94">
        <f>B11*G11</f>
        <v>475</v>
      </c>
      <c r="G11" s="66">
        <v>0.95</v>
      </c>
      <c r="H11" s="75" t="s">
        <v>94</v>
      </c>
      <c r="M11" s="43">
        <v>405</v>
      </c>
      <c r="N11" s="40">
        <v>1</v>
      </c>
      <c r="O11" s="40">
        <v>2</v>
      </c>
      <c r="P11" s="40">
        <v>3</v>
      </c>
      <c r="Q11" s="40">
        <v>4</v>
      </c>
      <c r="R11" s="40">
        <v>5</v>
      </c>
      <c r="S11" s="40">
        <v>6</v>
      </c>
      <c r="T11" s="40">
        <v>7</v>
      </c>
      <c r="U11" s="40">
        <v>8</v>
      </c>
      <c r="V11" s="89">
        <v>9</v>
      </c>
      <c r="W11" s="90">
        <v>10</v>
      </c>
    </row>
    <row r="12" spans="1:23" ht="15" thickBot="1">
      <c r="M12" s="77">
        <v>10</v>
      </c>
      <c r="N12" s="44">
        <f t="shared" ref="N12:W12" si="0">$M$11/N2</f>
        <v>405</v>
      </c>
      <c r="O12" s="44">
        <f t="shared" si="0"/>
        <v>421.875</v>
      </c>
      <c r="P12" s="44">
        <f t="shared" si="0"/>
        <v>440.21739130434781</v>
      </c>
      <c r="Q12" s="44">
        <f t="shared" si="0"/>
        <v>455.0561797752809</v>
      </c>
      <c r="R12" s="50">
        <f t="shared" si="0"/>
        <v>470.93023255813955</v>
      </c>
      <c r="S12" s="111">
        <f t="shared" si="0"/>
        <v>482.14285714285717</v>
      </c>
      <c r="T12" s="48">
        <f t="shared" si="0"/>
        <v>499.99999999999994</v>
      </c>
      <c r="U12" s="48">
        <f t="shared" si="0"/>
        <v>512.65822784810121</v>
      </c>
      <c r="V12" s="111">
        <f t="shared" si="0"/>
        <v>532.8947368421052</v>
      </c>
      <c r="W12" s="112">
        <f t="shared" si="0"/>
        <v>547.29729729729729</v>
      </c>
    </row>
    <row r="13" spans="1:23" ht="15" thickBot="1">
      <c r="A13" s="188" t="s">
        <v>84</v>
      </c>
      <c r="B13" s="189"/>
      <c r="C13" s="189"/>
      <c r="D13" s="189"/>
      <c r="E13" s="189"/>
      <c r="F13" s="190"/>
      <c r="H13" s="95"/>
      <c r="I13" s="95"/>
      <c r="J13" s="95"/>
      <c r="K13" s="95"/>
      <c r="L13" s="95"/>
      <c r="M13" s="77">
        <v>9.5</v>
      </c>
      <c r="N13" s="44">
        <f t="shared" ref="N13:W13" si="1">$M$11/N3</f>
        <v>413.26530612244898</v>
      </c>
      <c r="O13" s="44">
        <f t="shared" si="1"/>
        <v>430.85106382978728</v>
      </c>
      <c r="P13" s="44">
        <f t="shared" si="1"/>
        <v>445.05494505494505</v>
      </c>
      <c r="Q13" s="50">
        <f t="shared" si="1"/>
        <v>460.22727272727275</v>
      </c>
      <c r="R13" s="50">
        <f t="shared" si="1"/>
        <v>476.47058823529414</v>
      </c>
      <c r="S13" s="111">
        <f t="shared" si="1"/>
        <v>493.90243902439028</v>
      </c>
      <c r="T13" s="48">
        <f t="shared" si="1"/>
        <v>506.25</v>
      </c>
      <c r="U13" s="50">
        <f t="shared" si="1"/>
        <v>525.97402597402595</v>
      </c>
      <c r="V13" s="111">
        <f t="shared" si="1"/>
        <v>540</v>
      </c>
      <c r="W13" s="112">
        <f t="shared" si="1"/>
        <v>562.5</v>
      </c>
    </row>
    <row r="14" spans="1:23" ht="15" thickBot="1">
      <c r="A14" s="194" t="s">
        <v>36</v>
      </c>
      <c r="B14" s="187"/>
      <c r="C14" s="194" t="s">
        <v>37</v>
      </c>
      <c r="D14" s="187"/>
      <c r="E14" s="194" t="s">
        <v>38</v>
      </c>
      <c r="F14" s="187"/>
      <c r="H14" s="96"/>
      <c r="I14" s="95"/>
      <c r="J14" s="95"/>
      <c r="K14" s="95"/>
      <c r="L14" s="95"/>
      <c r="M14" s="77">
        <v>9</v>
      </c>
      <c r="N14" s="44">
        <f t="shared" ref="N14:W14" si="2">$M$11/N4</f>
        <v>421.875</v>
      </c>
      <c r="O14" s="44">
        <f t="shared" si="2"/>
        <v>440.21739130434781</v>
      </c>
      <c r="P14" s="44">
        <f t="shared" si="2"/>
        <v>455.0561797752809</v>
      </c>
      <c r="Q14" s="50">
        <f t="shared" si="2"/>
        <v>470.93023255813955</v>
      </c>
      <c r="R14" s="50">
        <f t="shared" si="2"/>
        <v>482.14285714285717</v>
      </c>
      <c r="S14" s="48">
        <f t="shared" si="2"/>
        <v>499.99999999999994</v>
      </c>
      <c r="T14" s="48">
        <f t="shared" si="2"/>
        <v>512.65822784810121</v>
      </c>
      <c r="U14" s="50">
        <f t="shared" si="2"/>
        <v>532.8947368421052</v>
      </c>
      <c r="V14" s="111">
        <f t="shared" si="2"/>
        <v>547.29729729729729</v>
      </c>
      <c r="W14" s="112">
        <f t="shared" si="2"/>
        <v>570.42253521126759</v>
      </c>
    </row>
    <row r="15" spans="1:23">
      <c r="A15" s="68" t="s">
        <v>85</v>
      </c>
      <c r="B15" s="69"/>
      <c r="C15" s="68" t="s">
        <v>85</v>
      </c>
      <c r="D15" s="69"/>
      <c r="E15" s="68" t="s">
        <v>85</v>
      </c>
      <c r="F15" s="69"/>
      <c r="H15" s="96"/>
      <c r="I15" s="95"/>
      <c r="J15" s="95"/>
      <c r="K15" s="95"/>
      <c r="L15" s="96"/>
      <c r="M15" s="77">
        <v>8.5</v>
      </c>
      <c r="N15" s="44">
        <f t="shared" ref="N15:W15" si="3">$M$11/N5</f>
        <v>430.85106382978728</v>
      </c>
      <c r="O15" s="44">
        <f t="shared" si="3"/>
        <v>445.05494505494505</v>
      </c>
      <c r="P15" s="50">
        <f t="shared" si="3"/>
        <v>460.22727272727275</v>
      </c>
      <c r="Q15" s="50">
        <f t="shared" si="3"/>
        <v>476.47058823529414</v>
      </c>
      <c r="R15" s="50">
        <f t="shared" si="3"/>
        <v>493.90243902439028</v>
      </c>
      <c r="S15" s="48">
        <f t="shared" si="3"/>
        <v>506.25</v>
      </c>
      <c r="T15" s="111">
        <f t="shared" si="3"/>
        <v>525.97402597402595</v>
      </c>
      <c r="U15" s="50">
        <f t="shared" si="3"/>
        <v>540</v>
      </c>
      <c r="V15" s="111">
        <f t="shared" si="3"/>
        <v>562.5</v>
      </c>
      <c r="W15" s="112">
        <f t="shared" si="3"/>
        <v>586.95652173913049</v>
      </c>
    </row>
    <row r="16" spans="1:23">
      <c r="A16" s="68" t="str">
        <f>MROUND(B9*0.3,5)&amp;"x5"</f>
        <v>150x5</v>
      </c>
      <c r="B16" s="69"/>
      <c r="C16" s="68" t="str">
        <f>MROUND(B10*0.3,5)&amp;"x5"</f>
        <v>95x5</v>
      </c>
      <c r="D16" s="69"/>
      <c r="E16" s="68" t="str">
        <f>MROUND(B11*0.3,5)&amp;"x5"</f>
        <v>150x5</v>
      </c>
      <c r="F16" s="69"/>
      <c r="H16" s="96"/>
      <c r="I16" s="95"/>
      <c r="J16" s="95"/>
      <c r="K16" s="95"/>
      <c r="L16" s="96"/>
      <c r="M16" s="77">
        <v>8</v>
      </c>
      <c r="N16" s="44">
        <f t="shared" ref="N16:W16" si="4">$M$11/N6</f>
        <v>440.21739130434781</v>
      </c>
      <c r="O16" s="44">
        <f t="shared" si="4"/>
        <v>455.0561797752809</v>
      </c>
      <c r="P16" s="50">
        <f t="shared" si="4"/>
        <v>470.93023255813955</v>
      </c>
      <c r="Q16" s="50">
        <f t="shared" si="4"/>
        <v>482.14285714285717</v>
      </c>
      <c r="R16" s="48">
        <f t="shared" si="4"/>
        <v>499.99999999999994</v>
      </c>
      <c r="S16" s="48">
        <f t="shared" si="4"/>
        <v>512.65822784810121</v>
      </c>
      <c r="T16" s="111">
        <f t="shared" si="4"/>
        <v>532.8947368421052</v>
      </c>
      <c r="U16" s="50">
        <f t="shared" si="4"/>
        <v>547.29729729729729</v>
      </c>
      <c r="V16" s="111">
        <f t="shared" si="4"/>
        <v>570.42253521126759</v>
      </c>
      <c r="W16" s="112">
        <f t="shared" si="4"/>
        <v>595.58823529411757</v>
      </c>
    </row>
    <row r="17" spans="1:23">
      <c r="A17" s="68" t="str">
        <f>MROUND(B9*0.5,5)&amp;"x5"</f>
        <v>250x5</v>
      </c>
      <c r="B17" s="69"/>
      <c r="C17" s="68" t="str">
        <f>MROUND(B10*0.5,5)&amp;"x5"</f>
        <v>160x5</v>
      </c>
      <c r="D17" s="69"/>
      <c r="E17" s="68" t="str">
        <f>MROUND(B11*0.5,5)&amp;"x5"</f>
        <v>250x5</v>
      </c>
      <c r="F17" s="69"/>
      <c r="H17" s="96"/>
      <c r="I17" s="95"/>
      <c r="J17" s="95"/>
      <c r="K17" s="95"/>
      <c r="L17" s="96"/>
      <c r="M17" s="77">
        <v>7.5</v>
      </c>
      <c r="N17" s="44">
        <f t="shared" ref="N17:W17" si="5">$M$11/N7</f>
        <v>445.05494505494505</v>
      </c>
      <c r="O17" s="111">
        <f t="shared" si="5"/>
        <v>460.22727272727275</v>
      </c>
      <c r="P17" s="50">
        <f t="shared" si="5"/>
        <v>476.47058823529414</v>
      </c>
      <c r="Q17" s="50">
        <f t="shared" si="5"/>
        <v>493.90243902439028</v>
      </c>
      <c r="R17" s="48">
        <f t="shared" si="5"/>
        <v>506.25</v>
      </c>
      <c r="S17" s="111">
        <f t="shared" si="5"/>
        <v>525.97402597402595</v>
      </c>
      <c r="T17" s="111">
        <f t="shared" si="5"/>
        <v>540</v>
      </c>
      <c r="U17" s="50">
        <f t="shared" si="5"/>
        <v>562.5</v>
      </c>
      <c r="V17" s="111">
        <f t="shared" si="5"/>
        <v>586.95652173913049</v>
      </c>
      <c r="W17" s="112">
        <f t="shared" si="5"/>
        <v>604.47761194029852</v>
      </c>
    </row>
    <row r="18" spans="1:23">
      <c r="A18" s="68" t="str">
        <f>MROUND(B9*0.7,5)&amp;"x3"</f>
        <v>350x3</v>
      </c>
      <c r="B18" s="69"/>
      <c r="C18" s="68" t="str">
        <f>MROUND(B10*0.7,5)&amp;"x3"</f>
        <v>220x3</v>
      </c>
      <c r="D18" s="69"/>
      <c r="E18" s="68" t="str">
        <f>MROUND(B11*0.7,5)&amp;"x3"</f>
        <v>350x3</v>
      </c>
      <c r="F18" s="69"/>
      <c r="H18" s="96"/>
      <c r="I18" s="96"/>
      <c r="J18" s="96"/>
      <c r="K18" s="96"/>
      <c r="L18" s="96"/>
      <c r="M18" s="77">
        <v>7</v>
      </c>
      <c r="N18" s="44">
        <f t="shared" ref="N18:W18" si="6">$M$11/N8</f>
        <v>455.0561797752809</v>
      </c>
      <c r="O18" s="111">
        <f t="shared" si="6"/>
        <v>470.93023255813955</v>
      </c>
      <c r="P18" s="50">
        <f t="shared" si="6"/>
        <v>482.14285714285717</v>
      </c>
      <c r="Q18" s="48">
        <f t="shared" si="6"/>
        <v>499.99999999999994</v>
      </c>
      <c r="R18" s="48">
        <f t="shared" si="6"/>
        <v>512.65822784810121</v>
      </c>
      <c r="S18" s="111">
        <f t="shared" si="6"/>
        <v>532.8947368421052</v>
      </c>
      <c r="T18" s="111">
        <f t="shared" si="6"/>
        <v>547.29729729729729</v>
      </c>
      <c r="U18" s="50">
        <f t="shared" si="6"/>
        <v>570.42253521126759</v>
      </c>
      <c r="V18" s="111">
        <f t="shared" si="6"/>
        <v>595.58823529411757</v>
      </c>
      <c r="W18" s="112">
        <f t="shared" si="6"/>
        <v>623.07692307692309</v>
      </c>
    </row>
    <row r="19" spans="1:23" ht="15" thickBot="1">
      <c r="A19" s="68" t="str">
        <f>MROUND(B9*0.8,5)&amp;"x1"</f>
        <v>400x1</v>
      </c>
      <c r="B19" s="69"/>
      <c r="C19" s="68" t="str">
        <f>MROUND(B10*0.8,5)&amp;"x1"</f>
        <v>250x1</v>
      </c>
      <c r="D19" s="69"/>
      <c r="E19" s="68" t="str">
        <f>MROUND(B11*0.8,5)&amp;"x1"</f>
        <v>400x1</v>
      </c>
      <c r="F19" s="69"/>
      <c r="H19" s="96"/>
      <c r="I19" s="96"/>
      <c r="J19" s="96"/>
      <c r="K19" s="96"/>
      <c r="L19" s="95"/>
      <c r="M19" s="78">
        <v>6.5</v>
      </c>
      <c r="N19" s="113">
        <f t="shared" ref="N19:W19" si="7">$M$11/N9</f>
        <v>460.22727272727275</v>
      </c>
      <c r="O19" s="113">
        <f t="shared" si="7"/>
        <v>476.47058823529414</v>
      </c>
      <c r="P19" s="51">
        <f t="shared" si="7"/>
        <v>493.90243902439028</v>
      </c>
      <c r="Q19" s="49">
        <f t="shared" si="7"/>
        <v>506.25</v>
      </c>
      <c r="R19" s="113">
        <f t="shared" si="7"/>
        <v>525.97402597402595</v>
      </c>
      <c r="S19" s="113">
        <f t="shared" si="7"/>
        <v>540</v>
      </c>
      <c r="T19" s="113">
        <f t="shared" si="7"/>
        <v>562.5</v>
      </c>
      <c r="U19" s="51">
        <f t="shared" si="7"/>
        <v>586.95652173913049</v>
      </c>
      <c r="V19" s="113">
        <f t="shared" si="7"/>
        <v>604.47761194029852</v>
      </c>
      <c r="W19" s="114">
        <f t="shared" si="7"/>
        <v>632.8125</v>
      </c>
    </row>
    <row r="20" spans="1:23" s="75" customFormat="1" ht="15" thickBot="1">
      <c r="A20" s="79" t="str">
        <f>MROUND(B9*0.9,5)&amp;"x1"</f>
        <v>450x1</v>
      </c>
      <c r="B20" s="97" t="str">
        <f>MROUND(B9*0.92,5)&amp;"x1"</f>
        <v>460x1</v>
      </c>
      <c r="C20" s="79" t="str">
        <f>MROUND(B10*0.9,5)&amp;"x1"</f>
        <v>285x1</v>
      </c>
      <c r="D20" s="97" t="str">
        <f>MROUND(B10*0.92,5)&amp;"x1"</f>
        <v>290x1</v>
      </c>
      <c r="E20" s="79" t="str">
        <f>MROUND(B11*0.9,5)&amp;"x1"</f>
        <v>450x1</v>
      </c>
      <c r="F20" s="97" t="str">
        <f>MROUND(B11*0.92,5)&amp;"x1"</f>
        <v>460x1</v>
      </c>
      <c r="H20" s="96"/>
      <c r="I20" s="96"/>
      <c r="J20" s="96"/>
      <c r="K20" s="96"/>
      <c r="L20" s="96"/>
      <c r="M20" s="96"/>
      <c r="N20" s="96"/>
      <c r="O20" s="96"/>
      <c r="P20" s="96"/>
      <c r="Q20" s="96"/>
    </row>
    <row r="21" spans="1:23" s="75" customFormat="1">
      <c r="A21" s="75" t="s">
        <v>86</v>
      </c>
      <c r="H21" s="96"/>
      <c r="I21" s="96"/>
      <c r="L21" s="96"/>
      <c r="M21" s="96"/>
      <c r="N21" s="96"/>
      <c r="O21" s="96"/>
      <c r="P21" s="96"/>
      <c r="Q21" s="96"/>
    </row>
    <row r="22" spans="1:23" s="75" customFormat="1" ht="15" thickBot="1">
      <c r="H22" s="96"/>
      <c r="I22" s="96"/>
      <c r="J22" s="96"/>
      <c r="K22" s="96"/>
      <c r="N22" s="122"/>
      <c r="P22" s="96"/>
      <c r="Q22" s="96"/>
    </row>
    <row r="23" spans="1:23" s="75" customFormat="1" ht="19" thickBot="1">
      <c r="A23" s="188" t="s">
        <v>89</v>
      </c>
      <c r="B23" s="189"/>
      <c r="C23" s="189"/>
      <c r="D23" s="189"/>
      <c r="E23" s="189"/>
      <c r="F23" s="190"/>
      <c r="H23" s="191" t="s">
        <v>50</v>
      </c>
      <c r="I23" s="192"/>
      <c r="J23" s="192"/>
      <c r="K23" s="192"/>
      <c r="L23" s="192"/>
      <c r="M23" s="193"/>
      <c r="N23" s="122"/>
    </row>
    <row r="24" spans="1:23" s="75" customFormat="1" ht="15" thickBot="1">
      <c r="A24" s="194" t="s">
        <v>36</v>
      </c>
      <c r="B24" s="187"/>
      <c r="C24" s="194" t="s">
        <v>37</v>
      </c>
      <c r="D24" s="187"/>
      <c r="E24" s="194" t="s">
        <v>38</v>
      </c>
      <c r="F24" s="187"/>
      <c r="H24" s="188" t="s">
        <v>36</v>
      </c>
      <c r="I24" s="189"/>
      <c r="J24" s="188" t="s">
        <v>37</v>
      </c>
      <c r="K24" s="190"/>
      <c r="L24" s="189" t="s">
        <v>38</v>
      </c>
      <c r="M24" s="190"/>
      <c r="N24" s="122"/>
    </row>
    <row r="25" spans="1:23" s="75" customFormat="1">
      <c r="A25" s="68" t="s">
        <v>85</v>
      </c>
      <c r="B25" s="69"/>
      <c r="C25" s="68" t="s">
        <v>85</v>
      </c>
      <c r="D25" s="69"/>
      <c r="E25" s="68" t="s">
        <v>85</v>
      </c>
      <c r="F25" s="69"/>
      <c r="H25" s="68" t="s">
        <v>85</v>
      </c>
      <c r="I25" s="96"/>
      <c r="J25" s="68" t="s">
        <v>85</v>
      </c>
      <c r="K25" s="69"/>
      <c r="L25" s="68" t="s">
        <v>85</v>
      </c>
      <c r="M25" s="69"/>
      <c r="N25" s="96"/>
    </row>
    <row r="26" spans="1:23" s="75" customFormat="1">
      <c r="A26" s="68" t="str">
        <f>MROUND(E9*0.3,5)&amp;"x5"</f>
        <v>145x5</v>
      </c>
      <c r="B26" s="69"/>
      <c r="C26" s="68" t="str">
        <f>MROUND(E10*0.3,5)&amp;"x5"</f>
        <v>90x5</v>
      </c>
      <c r="D26" s="69"/>
      <c r="E26" s="68" t="str">
        <f>MROUND(E11*0.3,5)&amp;"x5"</f>
        <v>145x5</v>
      </c>
      <c r="F26" s="69"/>
      <c r="H26" s="68" t="str">
        <f>MROUND((E9*83/183)*0.3,2.5)&amp;"x5"</f>
        <v>67.5x5</v>
      </c>
      <c r="I26" s="96"/>
      <c r="J26" s="68" t="str">
        <f>MROUND((E10*83/183)*0.3,2.5)&amp;"x5"</f>
        <v>40x5</v>
      </c>
      <c r="K26" s="69"/>
      <c r="L26" s="68" t="str">
        <f>MROUND((E11*83/183)*0.3,2.5)&amp;"x5"</f>
        <v>65x5</v>
      </c>
      <c r="M26" s="69"/>
    </row>
    <row r="27" spans="1:23" s="75" customFormat="1">
      <c r="A27" s="68" t="str">
        <f>MROUND(E9*0.5,5)&amp;"x5"</f>
        <v>245x5</v>
      </c>
      <c r="B27" s="69"/>
      <c r="C27" s="68" t="str">
        <f>MROUND(E10*0.5,5)&amp;"x5"</f>
        <v>150x5</v>
      </c>
      <c r="D27" s="69"/>
      <c r="E27" s="68" t="str">
        <f>MROUND(E11*0.5,5)&amp;"x5"</f>
        <v>240x5</v>
      </c>
      <c r="F27" s="69"/>
      <c r="H27" s="68" t="str">
        <f>MROUND((E9*83/183)*0.5,2.5)&amp;"x5"</f>
        <v>110x5</v>
      </c>
      <c r="I27" s="96"/>
      <c r="J27" s="68" t="str">
        <f>MROUND((E10*83/183)*0.5,2.5)&amp;"x5"</f>
        <v>67.5x5</v>
      </c>
      <c r="K27" s="69"/>
      <c r="L27" s="68" t="str">
        <f>MROUND((E11*83/183)*0.5,2.5)&amp;"x5"</f>
        <v>107.5x5</v>
      </c>
      <c r="M27" s="69"/>
    </row>
    <row r="28" spans="1:23" s="75" customFormat="1">
      <c r="A28" s="68" t="str">
        <f>MROUND(E9*0.7,5)&amp;"x3"</f>
        <v>345x3</v>
      </c>
      <c r="B28" s="69"/>
      <c r="C28" s="68" t="str">
        <f>MROUND(E10*0.7,5)&amp;"x3"</f>
        <v>210x3</v>
      </c>
      <c r="D28" s="69"/>
      <c r="E28" s="68" t="str">
        <f>MROUND(E11*0.7,5)&amp;"x3"</f>
        <v>335x3</v>
      </c>
      <c r="F28" s="69"/>
      <c r="H28" s="68" t="str">
        <f>MROUND((E9*83/183)*0.7,2.5)&amp;"x3"</f>
        <v>155x3</v>
      </c>
      <c r="I28" s="96"/>
      <c r="J28" s="68" t="str">
        <f>MROUND((E10*83/183)*0.7,2.5)&amp;"x3"</f>
        <v>95x3</v>
      </c>
      <c r="K28" s="69"/>
      <c r="L28" s="68" t="str">
        <f>MROUND((E11*83/183)*0.7,2.5)&amp;"x3"</f>
        <v>150x3</v>
      </c>
      <c r="M28" s="69"/>
    </row>
    <row r="29" spans="1:23" s="75" customFormat="1" ht="15" thickBot="1">
      <c r="A29" s="80" t="str">
        <f>MROUND(E9*0.8,5)&amp;"x1"</f>
        <v>390x1</v>
      </c>
      <c r="B29" s="98"/>
      <c r="C29" s="80" t="str">
        <f>MROUND(E10*0.8,5)&amp;"x1"</f>
        <v>240x1</v>
      </c>
      <c r="D29" s="98"/>
      <c r="E29" s="80" t="str">
        <f>MROUND(E11*0.8,5)&amp;"x1"</f>
        <v>380x1</v>
      </c>
      <c r="F29" s="98"/>
      <c r="H29" s="80" t="str">
        <f>MROUND((E9*83/183)*0.8,2.5)&amp;"x1"</f>
        <v>177.5x1</v>
      </c>
      <c r="I29" s="123"/>
      <c r="J29" s="80" t="str">
        <f>MROUND((E10*83/183)*0.8,2.5)&amp;"x1"</f>
        <v>107.5x1</v>
      </c>
      <c r="K29" s="98"/>
      <c r="L29" s="80" t="str">
        <f>MROUND((E11*83/183)*0.8,2.5)&amp;"x1"</f>
        <v>172.5x1</v>
      </c>
      <c r="M29" s="124"/>
      <c r="N29" s="99"/>
      <c r="O29" s="99"/>
      <c r="P29" s="99"/>
      <c r="Q29" s="99"/>
      <c r="S29" s="125"/>
      <c r="V29" s="75">
        <f>31-1.75</f>
        <v>29.25</v>
      </c>
    </row>
    <row r="30" spans="1:23" s="75" customFormat="1" ht="15" thickBot="1">
      <c r="M30" s="99"/>
      <c r="N30" s="99"/>
      <c r="O30" s="99"/>
      <c r="P30" s="99"/>
      <c r="Q30" s="99"/>
    </row>
    <row r="31" spans="1:23" s="75" customFormat="1" ht="19" thickBot="1">
      <c r="A31" s="191" t="s">
        <v>91</v>
      </c>
      <c r="B31" s="192"/>
      <c r="C31" s="192"/>
      <c r="D31" s="192"/>
      <c r="E31" s="192"/>
      <c r="F31" s="193"/>
      <c r="H31" s="191" t="s">
        <v>93</v>
      </c>
      <c r="I31" s="192"/>
      <c r="J31" s="192"/>
      <c r="K31" s="192"/>
      <c r="L31" s="192"/>
      <c r="M31" s="192"/>
      <c r="N31" s="193"/>
      <c r="P31" s="188" t="s">
        <v>100</v>
      </c>
      <c r="Q31" s="190"/>
      <c r="R31" s="188" t="s">
        <v>101</v>
      </c>
      <c r="S31" s="190"/>
    </row>
    <row r="32" spans="1:23" s="75" customFormat="1">
      <c r="A32" s="200" t="s">
        <v>36</v>
      </c>
      <c r="B32" s="201"/>
      <c r="C32" s="200" t="s">
        <v>37</v>
      </c>
      <c r="D32" s="201"/>
      <c r="E32" s="200" t="s">
        <v>38</v>
      </c>
      <c r="F32" s="201"/>
      <c r="H32" s="68"/>
      <c r="I32" s="202" t="s">
        <v>36</v>
      </c>
      <c r="J32" s="203"/>
      <c r="K32" s="204" t="s">
        <v>37</v>
      </c>
      <c r="L32" s="205"/>
      <c r="M32" s="204" t="s">
        <v>38</v>
      </c>
      <c r="N32" s="205"/>
      <c r="P32" s="76">
        <f t="shared" ref="P32:Q34" si="8">I33+K33+M33</f>
        <v>517.5</v>
      </c>
      <c r="Q32" s="92">
        <f t="shared" si="8"/>
        <v>527.5</v>
      </c>
      <c r="R32" s="85">
        <f t="shared" ref="R32:S34" si="9">(500/((-216.0475144)+(16.2606339*$I$9)+(-0.002388645*$I$9*$I$9)+(-0.00113732*$I$9*$I$9*$I$9)+(0.00000701863*$I$9*$I$9*$I$9*$I$9)+(-0.00000001291*$I$9*$I$9*$I$9*$I$9*$I$9)))*P32</f>
        <v>345.43095326723812</v>
      </c>
      <c r="S32" s="92">
        <f t="shared" si="9"/>
        <v>352.10594753327172</v>
      </c>
    </row>
    <row r="33" spans="1:19" s="75" customFormat="1">
      <c r="A33" s="68" t="s">
        <v>85</v>
      </c>
      <c r="B33" s="69"/>
      <c r="C33" s="68" t="s">
        <v>85</v>
      </c>
      <c r="D33" s="69"/>
      <c r="E33" s="68" t="s">
        <v>85</v>
      </c>
      <c r="F33" s="69"/>
      <c r="H33" s="107" t="s">
        <v>39</v>
      </c>
      <c r="I33" s="77">
        <f>MROUND(A45,2.5)</f>
        <v>200</v>
      </c>
      <c r="J33" s="93">
        <f t="shared" ref="I33:N35" si="10">MROUND(B45,2.5)</f>
        <v>205</v>
      </c>
      <c r="K33" s="91">
        <f t="shared" si="10"/>
        <v>122.5</v>
      </c>
      <c r="L33" s="100">
        <f t="shared" si="10"/>
        <v>125</v>
      </c>
      <c r="M33" s="77">
        <f t="shared" si="10"/>
        <v>195</v>
      </c>
      <c r="N33" s="93">
        <f t="shared" si="10"/>
        <v>197.5</v>
      </c>
      <c r="P33" s="77">
        <f t="shared" si="8"/>
        <v>540</v>
      </c>
      <c r="Q33" s="93">
        <f t="shared" si="8"/>
        <v>557.5</v>
      </c>
      <c r="R33" s="91">
        <f t="shared" si="9"/>
        <v>360.44969036581369</v>
      </c>
      <c r="S33" s="93">
        <f t="shared" si="9"/>
        <v>372.1309303313725</v>
      </c>
    </row>
    <row r="34" spans="1:19" s="75" customFormat="1" ht="15" thickBot="1">
      <c r="A34" s="68" t="str">
        <f>MROUND((E9*(83/183))*0.3,2.5)&amp;"x5"</f>
        <v>67.5x5</v>
      </c>
      <c r="B34" s="69"/>
      <c r="C34" s="68" t="str">
        <f>MROUND((E10*(83/183))*0.3,2.5)&amp;"x5"</f>
        <v>40x5</v>
      </c>
      <c r="D34" s="69"/>
      <c r="E34" s="68" t="str">
        <f>MROUND((E11*(83/183))*0.3,2.5)&amp;"x5"</f>
        <v>65x5</v>
      </c>
      <c r="F34" s="69"/>
      <c r="H34" s="107" t="s">
        <v>87</v>
      </c>
      <c r="I34" s="77">
        <f t="shared" si="10"/>
        <v>210</v>
      </c>
      <c r="J34" s="93">
        <f t="shared" si="10"/>
        <v>215</v>
      </c>
      <c r="K34" s="91">
        <f t="shared" si="10"/>
        <v>127.5</v>
      </c>
      <c r="L34" s="100">
        <f t="shared" si="10"/>
        <v>132.5</v>
      </c>
      <c r="M34" s="77">
        <f t="shared" si="10"/>
        <v>202.5</v>
      </c>
      <c r="N34" s="93">
        <f t="shared" si="10"/>
        <v>210</v>
      </c>
      <c r="P34" s="78">
        <f t="shared" si="8"/>
        <v>560</v>
      </c>
      <c r="Q34" s="94">
        <f t="shared" si="8"/>
        <v>585</v>
      </c>
      <c r="R34" s="101">
        <f t="shared" si="9"/>
        <v>373.79967889788088</v>
      </c>
      <c r="S34" s="94">
        <f t="shared" si="9"/>
        <v>390.48716456296484</v>
      </c>
    </row>
    <row r="35" spans="1:19" s="75" customFormat="1" ht="15" thickBot="1">
      <c r="A35" s="68" t="str">
        <f>MROUND((E9*(83/183))*0.5,2.5)&amp;"x5"</f>
        <v>110x5</v>
      </c>
      <c r="B35" s="69"/>
      <c r="C35" s="68" t="str">
        <f>MROUND((E10*(83/183))*0.5,2.5)&amp;"x5"</f>
        <v>67.5x5</v>
      </c>
      <c r="D35" s="69"/>
      <c r="E35" s="68" t="str">
        <f>MROUND((E11*(83/183))*0.5,2.5)&amp;"x5"</f>
        <v>107.5x5</v>
      </c>
      <c r="F35" s="69"/>
      <c r="H35" s="108" t="s">
        <v>88</v>
      </c>
      <c r="I35" s="78">
        <f t="shared" si="10"/>
        <v>217.5</v>
      </c>
      <c r="J35" s="94">
        <f t="shared" si="10"/>
        <v>227.5</v>
      </c>
      <c r="K35" s="101">
        <f t="shared" si="10"/>
        <v>132.5</v>
      </c>
      <c r="L35" s="102">
        <f t="shared" si="10"/>
        <v>137.5</v>
      </c>
      <c r="M35" s="78">
        <f t="shared" si="10"/>
        <v>210</v>
      </c>
      <c r="N35" s="94">
        <f t="shared" si="10"/>
        <v>220</v>
      </c>
      <c r="P35" s="75">
        <v>562.5</v>
      </c>
    </row>
    <row r="36" spans="1:19" s="75" customFormat="1">
      <c r="A36" s="68" t="str">
        <f>MROUND((E9*(83/183))*0.7,2.5)&amp;"x3"</f>
        <v>155x3</v>
      </c>
      <c r="B36" s="69"/>
      <c r="C36" s="68" t="str">
        <f>MROUND((E10*(83/183))*0.7,2.5)&amp;"x3"</f>
        <v>95x3</v>
      </c>
      <c r="D36" s="69"/>
      <c r="E36" s="68" t="str">
        <f>MROUND((E11*(83/183))*0.7,2.5)&amp;"x3"</f>
        <v>150x3</v>
      </c>
      <c r="F36" s="69"/>
    </row>
    <row r="37" spans="1:19" s="75" customFormat="1" ht="15" thickBot="1">
      <c r="A37" s="80" t="str">
        <f>MROUND((E9*(83/183))*0.8,2.5)&amp;"x1"</f>
        <v>177.5x1</v>
      </c>
      <c r="B37" s="98"/>
      <c r="C37" s="80" t="str">
        <f>MROUND((E10*(83/183))*0.8,2.5)&amp;"x1"</f>
        <v>107.5x1</v>
      </c>
      <c r="D37" s="98"/>
      <c r="E37" s="80" t="str">
        <f>MROUND((E11*(83/183))*0.8,2.5)&amp;"x1"</f>
        <v>172.5x1</v>
      </c>
      <c r="F37" s="98"/>
    </row>
    <row r="38" spans="1:19" s="75" customFormat="1"/>
    <row r="39" spans="1:19" s="75" customFormat="1" ht="15" hidden="1" thickBot="1">
      <c r="A39" s="195" t="s">
        <v>95</v>
      </c>
      <c r="B39" s="196"/>
      <c r="C39" s="196"/>
      <c r="D39" s="196"/>
      <c r="E39" s="196"/>
      <c r="F39" s="197"/>
    </row>
    <row r="40" spans="1:19" s="75" customFormat="1" hidden="1">
      <c r="A40" s="198" t="s">
        <v>36</v>
      </c>
      <c r="B40" s="199"/>
      <c r="C40" s="198" t="s">
        <v>37</v>
      </c>
      <c r="D40" s="199"/>
      <c r="E40" s="198" t="s">
        <v>38</v>
      </c>
      <c r="F40" s="199"/>
    </row>
    <row r="41" spans="1:19" s="75" customFormat="1" hidden="1">
      <c r="A41" s="81">
        <f>E9*0.9</f>
        <v>441</v>
      </c>
      <c r="B41" s="103">
        <f>E9*0.92</f>
        <v>450.8</v>
      </c>
      <c r="C41" s="81">
        <f>E10*0.9</f>
        <v>269.32499999999999</v>
      </c>
      <c r="D41" s="103">
        <f>E10*0.92</f>
        <v>275.31</v>
      </c>
      <c r="E41" s="81">
        <f>E11*0.9</f>
        <v>427.5</v>
      </c>
      <c r="F41" s="103">
        <f>E11*0.92</f>
        <v>437</v>
      </c>
    </row>
    <row r="42" spans="1:19" s="75" customFormat="1" hidden="1">
      <c r="A42" s="81">
        <f>E9*0.94</f>
        <v>460.59999999999997</v>
      </c>
      <c r="B42" s="103">
        <f>E9*0.97</f>
        <v>475.3</v>
      </c>
      <c r="C42" s="81">
        <f>E10*0.94</f>
        <v>281.29499999999996</v>
      </c>
      <c r="D42" s="103">
        <f>E10*0.97</f>
        <v>290.27249999999998</v>
      </c>
      <c r="E42" s="81">
        <f>E11*0.94</f>
        <v>446.5</v>
      </c>
      <c r="F42" s="103">
        <f>E11*0.97</f>
        <v>460.75</v>
      </c>
    </row>
    <row r="43" spans="1:19" s="75" customFormat="1" ht="15" hidden="1" thickBot="1">
      <c r="A43" s="82">
        <f>E9*0.98</f>
        <v>480.2</v>
      </c>
      <c r="B43" s="104">
        <f>E9*1.02</f>
        <v>499.8</v>
      </c>
      <c r="C43" s="82">
        <f>E10*0.98</f>
        <v>293.26499999999999</v>
      </c>
      <c r="D43" s="104">
        <f>E10*1.02</f>
        <v>305.23500000000001</v>
      </c>
      <c r="E43" s="82">
        <f>E11*0.98</f>
        <v>465.5</v>
      </c>
      <c r="F43" s="104">
        <f>E11*1.02</f>
        <v>484.5</v>
      </c>
    </row>
    <row r="44" spans="1:19" s="75" customFormat="1" ht="15" hidden="1" thickBot="1">
      <c r="A44" s="68"/>
      <c r="B44" s="69"/>
      <c r="C44" s="68"/>
      <c r="D44" s="69"/>
      <c r="E44" s="68"/>
      <c r="F44" s="69"/>
    </row>
    <row r="45" spans="1:19" s="75" customFormat="1" hidden="1">
      <c r="A45" s="83">
        <f t="shared" ref="A45:F47" si="11">A41*(83/183)</f>
        <v>200.01639344262296</v>
      </c>
      <c r="B45" s="105">
        <f t="shared" si="11"/>
        <v>204.46120218579236</v>
      </c>
      <c r="C45" s="83">
        <f t="shared" si="11"/>
        <v>122.15286885245901</v>
      </c>
      <c r="D45" s="105">
        <f t="shared" si="11"/>
        <v>124.86737704918033</v>
      </c>
      <c r="E45" s="83">
        <f t="shared" si="11"/>
        <v>193.89344262295083</v>
      </c>
      <c r="F45" s="105">
        <f t="shared" si="11"/>
        <v>198.20218579234972</v>
      </c>
    </row>
    <row r="46" spans="1:19" s="75" customFormat="1" hidden="1">
      <c r="A46" s="81">
        <f t="shared" si="11"/>
        <v>208.90601092896173</v>
      </c>
      <c r="B46" s="103">
        <f t="shared" si="11"/>
        <v>215.57322404371587</v>
      </c>
      <c r="C46" s="81">
        <f t="shared" si="11"/>
        <v>127.58188524590162</v>
      </c>
      <c r="D46" s="103">
        <f t="shared" si="11"/>
        <v>131.6536475409836</v>
      </c>
      <c r="E46" s="81">
        <f t="shared" si="11"/>
        <v>202.51092896174865</v>
      </c>
      <c r="F46" s="103">
        <f t="shared" si="11"/>
        <v>208.97404371584699</v>
      </c>
    </row>
    <row r="47" spans="1:19" s="75" customFormat="1" ht="15" hidden="1" thickBot="1">
      <c r="A47" s="82">
        <f t="shared" si="11"/>
        <v>217.79562841530054</v>
      </c>
      <c r="B47" s="104">
        <f t="shared" si="11"/>
        <v>226.68524590163935</v>
      </c>
      <c r="C47" s="82">
        <f t="shared" si="11"/>
        <v>133.01090163934427</v>
      </c>
      <c r="D47" s="104">
        <f t="shared" si="11"/>
        <v>138.43991803278689</v>
      </c>
      <c r="E47" s="82">
        <f t="shared" si="11"/>
        <v>211.12841530054644</v>
      </c>
      <c r="F47" s="104">
        <f t="shared" si="11"/>
        <v>219.74590163934425</v>
      </c>
    </row>
    <row r="48" spans="1:19" s="75" customFormat="1"/>
    <row r="49" s="75" customFormat="1"/>
    <row r="50" s="75" customFormat="1"/>
    <row r="51" s="75" customFormat="1"/>
    <row r="52" s="75" customFormat="1"/>
    <row r="53" s="75" customFormat="1"/>
    <row r="54" s="75" customFormat="1"/>
    <row r="55" s="75" customFormat="1"/>
    <row r="56" s="75" customFormat="1"/>
    <row r="57" s="75" customFormat="1"/>
    <row r="58" s="75" customFormat="1"/>
    <row r="59" s="75" customFormat="1"/>
    <row r="60" s="75" customFormat="1"/>
    <row r="61" s="75" customFormat="1"/>
    <row r="62" s="75" customFormat="1"/>
    <row r="63" s="75" customFormat="1"/>
    <row r="64" s="75" customFormat="1"/>
    <row r="65" s="75" customFormat="1"/>
    <row r="66" s="75" customFormat="1"/>
    <row r="67" s="75" customFormat="1"/>
    <row r="68" s="75" customFormat="1"/>
    <row r="69" s="75" customFormat="1"/>
    <row r="70" s="75" customFormat="1"/>
    <row r="71" s="75" customFormat="1"/>
    <row r="72" s="75" customFormat="1"/>
    <row r="73" s="75" customFormat="1"/>
    <row r="74" s="75" customFormat="1"/>
    <row r="75" s="75" customFormat="1"/>
    <row r="76" s="75" customFormat="1"/>
    <row r="77" s="75" customFormat="1"/>
    <row r="78" s="75" customFormat="1"/>
    <row r="79" s="75" customFormat="1"/>
    <row r="80" s="75" customFormat="1"/>
    <row r="81" s="75" customFormat="1"/>
    <row r="82" s="75" customFormat="1"/>
    <row r="83" s="75" customFormat="1"/>
    <row r="84" s="75" customFormat="1"/>
    <row r="85" s="75" customFormat="1"/>
    <row r="86" s="75" customFormat="1"/>
    <row r="87" s="75" customFormat="1"/>
    <row r="88" s="75" customFormat="1"/>
    <row r="89" s="75" customFormat="1"/>
    <row r="90" s="75" customFormat="1"/>
    <row r="91" s="75" customFormat="1"/>
    <row r="92" s="75" customFormat="1"/>
    <row r="93" s="75" customFormat="1"/>
    <row r="94" s="75" customFormat="1"/>
    <row r="95" s="75" customFormat="1"/>
    <row r="96" s="75" customFormat="1"/>
    <row r="97" s="75" customFormat="1"/>
    <row r="98" s="75" customFormat="1"/>
    <row r="99" s="75" customFormat="1"/>
  </sheetData>
  <mergeCells count="30">
    <mergeCell ref="R31:S31"/>
    <mergeCell ref="P31:Q31"/>
    <mergeCell ref="I32:J32"/>
    <mergeCell ref="H31:N31"/>
    <mergeCell ref="M32:N32"/>
    <mergeCell ref="K32:L32"/>
    <mergeCell ref="A39:F39"/>
    <mergeCell ref="A40:B40"/>
    <mergeCell ref="C40:D40"/>
    <mergeCell ref="E40:F40"/>
    <mergeCell ref="A31:F31"/>
    <mergeCell ref="A32:B32"/>
    <mergeCell ref="C32:D32"/>
    <mergeCell ref="E32:F32"/>
    <mergeCell ref="B2:K2"/>
    <mergeCell ref="A1:K1"/>
    <mergeCell ref="A8:B8"/>
    <mergeCell ref="H23:M23"/>
    <mergeCell ref="H24:I24"/>
    <mergeCell ref="J24:K24"/>
    <mergeCell ref="L24:M24"/>
    <mergeCell ref="D8:E8"/>
    <mergeCell ref="E14:F14"/>
    <mergeCell ref="C14:D14"/>
    <mergeCell ref="A24:B24"/>
    <mergeCell ref="C24:D24"/>
    <mergeCell ref="E24:F24"/>
    <mergeCell ref="A23:F23"/>
    <mergeCell ref="A14:B14"/>
    <mergeCell ref="A13:F13"/>
  </mergeCells>
  <phoneticPr fontId="4" type="noConversion"/>
  <pageMargins left="0.7" right="0.7" top="0.75" bottom="0.75" header="0.3" footer="0.3"/>
  <pageSetup orientation="portrai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46"/>
  <sheetViews>
    <sheetView workbookViewId="0">
      <selection activeCell="U21" sqref="U21"/>
    </sheetView>
  </sheetViews>
  <sheetFormatPr baseColWidth="10" defaultColWidth="8.83203125" defaultRowHeight="14" x14ac:dyDescent="0"/>
  <cols>
    <col min="1" max="1" width="8.83203125" style="75"/>
    <col min="2" max="2" width="10.5" style="75" bestFit="1" customWidth="1"/>
    <col min="3" max="3" width="1.5" style="75" customWidth="1"/>
    <col min="4" max="4" width="3" bestFit="1" customWidth="1"/>
    <col min="5" max="5" width="1.5" style="75" customWidth="1"/>
    <col min="6" max="6" width="3" bestFit="1" customWidth="1"/>
    <col min="7" max="7" width="1.5" style="75" customWidth="1"/>
    <col min="8" max="8" width="3" bestFit="1" customWidth="1"/>
    <col min="9" max="9" width="1.5" style="75" customWidth="1"/>
    <col min="10" max="10" width="3" bestFit="1" customWidth="1"/>
    <col min="11" max="11" width="1.5" style="75" customWidth="1"/>
    <col min="12" max="12" width="2.6640625" bestFit="1" customWidth="1"/>
    <col min="13" max="13" width="1.5" style="75" customWidth="1"/>
    <col min="14" max="14" width="4" bestFit="1" customWidth="1"/>
    <col min="15" max="15" width="1.5" style="75" customWidth="1"/>
    <col min="16" max="16" width="5" bestFit="1" customWidth="1"/>
    <col min="17" max="17" width="1.5" style="75" customWidth="1"/>
    <col min="18" max="18" width="5.83203125" bestFit="1" customWidth="1"/>
    <col min="19" max="68" width="8.83203125" style="75"/>
  </cols>
  <sheetData>
    <row r="1" spans="2:25" s="75" customFormat="1"/>
    <row r="2" spans="2:25" s="75" customFormat="1"/>
    <row r="3" spans="2:25" s="75" customFormat="1">
      <c r="D3" s="156">
        <v>25</v>
      </c>
      <c r="E3" s="156"/>
      <c r="F3" s="156">
        <v>20</v>
      </c>
      <c r="G3" s="156"/>
      <c r="H3" s="156">
        <v>15</v>
      </c>
      <c r="I3" s="156"/>
      <c r="J3" s="156">
        <v>10</v>
      </c>
      <c r="K3" s="156"/>
      <c r="L3" s="156">
        <v>5</v>
      </c>
      <c r="M3" s="156"/>
      <c r="N3" s="156">
        <v>2.5</v>
      </c>
      <c r="O3" s="156"/>
      <c r="P3" s="156">
        <v>1.25</v>
      </c>
      <c r="Q3" s="156"/>
      <c r="R3" s="156" t="s">
        <v>104</v>
      </c>
    </row>
    <row r="4" spans="2:25" ht="25">
      <c r="B4" s="157">
        <v>215</v>
      </c>
      <c r="D4" s="132">
        <f>ROUNDDOWN(((B4-25)/25)/2,0)</f>
        <v>3</v>
      </c>
      <c r="E4" s="163"/>
      <c r="F4" s="133">
        <f>ROUNDDOWN(((B4-25-(D4*2*25))/20)/2,0)</f>
        <v>1</v>
      </c>
      <c r="G4" s="163"/>
      <c r="H4" s="134">
        <f>ROUNDDOWN(((B4-25-(D4*2*25)-(F4*2*20))/15)/2,0)</f>
        <v>0</v>
      </c>
      <c r="I4" s="163"/>
      <c r="J4" s="135">
        <f>ROUNDDOWN(((B4-25-(D4*2*25)-(F4*2*20)-(H4*2*15))/10)/2,0)</f>
        <v>0</v>
      </c>
      <c r="K4" s="163"/>
      <c r="L4" s="136">
        <f>ROUNDDOWN(((B4-25-(D4*2*25)-(F4*2*20)-(H4*2*15)-(J4*2*10))/5)/2,0)</f>
        <v>0</v>
      </c>
      <c r="M4" s="163"/>
      <c r="N4" s="137">
        <f>ROUNDDOWN(((B4-25-(D4*2*25)-(F4*2*20)-(H4*2*15)-(J4*2*10)-(L4*2*5))/2.5)/2,0)</f>
        <v>0</v>
      </c>
      <c r="O4" s="163"/>
      <c r="P4" s="138">
        <f>ROUNDDOWN(((B4-25-(D4*2*25)-(F4*2*20)-(H4*2*15)-(J4*2*10)-(L4*2*5)-(N4*2*2.5))/1.25)/2,0)</f>
        <v>0</v>
      </c>
      <c r="Q4" s="163"/>
      <c r="R4" s="139">
        <v>1</v>
      </c>
    </row>
    <row r="5" spans="2:25" s="75" customFormat="1">
      <c r="X5" s="75" t="s">
        <v>36</v>
      </c>
    </row>
    <row r="6" spans="2:25" s="75" customFormat="1">
      <c r="X6" s="75">
        <f>0.3*'Attempt Selection'!$E$9</f>
        <v>147</v>
      </c>
      <c r="Y6" s="75">
        <f>MROUND(X6*(83/183),2.5)</f>
        <v>67.5</v>
      </c>
    </row>
    <row r="7" spans="2:25" s="75" customFormat="1" ht="15" thickBot="1">
      <c r="X7" s="75">
        <f>0.5*'Attempt Selection'!$E$9</f>
        <v>245</v>
      </c>
      <c r="Y7" s="75">
        <f t="shared" ref="Y7:Y19" si="0">MROUND(X7*(83/183),2.5)</f>
        <v>110</v>
      </c>
    </row>
    <row r="8" spans="2:25" s="75" customFormat="1" ht="15" thickBot="1">
      <c r="B8" s="188" t="s">
        <v>50</v>
      </c>
      <c r="C8" s="189"/>
      <c r="D8" s="189"/>
      <c r="E8" s="189"/>
      <c r="F8" s="189"/>
      <c r="G8" s="189"/>
      <c r="H8" s="189"/>
      <c r="I8" s="189"/>
      <c r="J8" s="189"/>
      <c r="K8" s="189"/>
      <c r="L8" s="189"/>
      <c r="M8" s="189"/>
      <c r="N8" s="189"/>
      <c r="O8" s="189"/>
      <c r="P8" s="189"/>
      <c r="Q8" s="189"/>
      <c r="R8" s="190"/>
      <c r="X8" s="75">
        <f>0.7*'Attempt Selection'!$E$9</f>
        <v>343</v>
      </c>
      <c r="Y8" s="75">
        <f t="shared" si="0"/>
        <v>155</v>
      </c>
    </row>
    <row r="9" spans="2:25" s="75" customFormat="1">
      <c r="B9" s="158" t="s">
        <v>105</v>
      </c>
      <c r="C9" s="159"/>
      <c r="D9" s="164">
        <v>25</v>
      </c>
      <c r="E9" s="164"/>
      <c r="F9" s="164">
        <v>20</v>
      </c>
      <c r="G9" s="164"/>
      <c r="H9" s="164">
        <v>15</v>
      </c>
      <c r="I9" s="164"/>
      <c r="J9" s="164">
        <v>10</v>
      </c>
      <c r="K9" s="164"/>
      <c r="L9" s="164">
        <v>5</v>
      </c>
      <c r="M9" s="164"/>
      <c r="N9" s="164">
        <v>2.5</v>
      </c>
      <c r="O9" s="164"/>
      <c r="P9" s="164">
        <v>1.25</v>
      </c>
      <c r="Q9" s="164"/>
      <c r="R9" s="131" t="s">
        <v>104</v>
      </c>
      <c r="X9" s="75">
        <f>0.8*'Attempt Selection'!$E$9</f>
        <v>392</v>
      </c>
      <c r="Y9" s="75">
        <f t="shared" si="0"/>
        <v>177.5</v>
      </c>
    </row>
    <row r="10" spans="2:25" ht="18">
      <c r="B10" s="160">
        <f>Y6</f>
        <v>67.5</v>
      </c>
      <c r="C10" s="96"/>
      <c r="D10" s="140">
        <f>ROUNDDOWN(((B10-25)/25)/2,0)</f>
        <v>0</v>
      </c>
      <c r="E10" s="165"/>
      <c r="F10" s="141">
        <f>ROUNDDOWN(((B10-25-(D10*2*25))/20)/2,0)</f>
        <v>1</v>
      </c>
      <c r="G10" s="165"/>
      <c r="H10" s="142">
        <f>ROUNDDOWN(((B10-25-(D10*2*25)-(F10*2*20))/15)/2,0)</f>
        <v>0</v>
      </c>
      <c r="I10" s="165"/>
      <c r="J10" s="143">
        <f>ROUNDDOWN(((B10-25-(D10*2*25)-(F10*2*20)-(H10*2*15))/10)/2,0)</f>
        <v>0</v>
      </c>
      <c r="K10" s="165"/>
      <c r="L10" s="144">
        <f>ROUNDDOWN(((B10-25-(D10*2*25)-(F10*2*20)-(H10*2*15)-(J10*2*10))/5)/2,0)</f>
        <v>0</v>
      </c>
      <c r="M10" s="165"/>
      <c r="N10" s="145">
        <f>ROUNDDOWN(((B10-25-(D10*2*25)-(F10*2*20)-(H10*2*15)-(J10*2*10)-(L10*2*5))/2.5)/2,0)</f>
        <v>0</v>
      </c>
      <c r="O10" s="165"/>
      <c r="P10" s="146">
        <f>ROUNDDOWN(((B10-25-(D10*2*25)-(F10*2*20)-(H10*2*15)-(J10*2*10)-(L10*2*5)-(N10*2*2.5))/1.25)/2,0)</f>
        <v>1</v>
      </c>
      <c r="Q10" s="165"/>
      <c r="R10" s="147">
        <v>1</v>
      </c>
      <c r="X10" s="75" t="s">
        <v>37</v>
      </c>
    </row>
    <row r="11" spans="2:25" ht="18">
      <c r="B11" s="160">
        <f t="shared" ref="B11:B23" si="1">Y7</f>
        <v>110</v>
      </c>
      <c r="C11" s="96"/>
      <c r="D11" s="140">
        <f>ROUNDDOWN(((B11-25)/25)/2,0)</f>
        <v>1</v>
      </c>
      <c r="E11" s="165"/>
      <c r="F11" s="141">
        <f>ROUNDDOWN(((B11-25-(D11*2*25))/20)/2,0)</f>
        <v>0</v>
      </c>
      <c r="G11" s="165"/>
      <c r="H11" s="142">
        <f>ROUNDDOWN(((B11-25-(D11*2*25)-(F11*2*20))/15)/2,0)</f>
        <v>1</v>
      </c>
      <c r="I11" s="165"/>
      <c r="J11" s="143">
        <f>ROUNDDOWN(((B11-25-(D11*2*25)-(F11*2*20)-(H11*2*15))/10)/2,0)</f>
        <v>0</v>
      </c>
      <c r="K11" s="165"/>
      <c r="L11" s="144">
        <f>ROUNDDOWN(((B11-25-(D11*2*25)-(F11*2*20)-(H11*2*15)-(J11*2*10))/5)/2,0)</f>
        <v>0</v>
      </c>
      <c r="M11" s="165"/>
      <c r="N11" s="145">
        <f>ROUNDDOWN(((B11-25-(D11*2*25)-(F11*2*20)-(H11*2*15)-(J11*2*10)-(L11*2*5))/2.5)/2,0)</f>
        <v>1</v>
      </c>
      <c r="O11" s="165"/>
      <c r="P11" s="146">
        <f>ROUNDDOWN(((B11-25-(D11*2*25)-(F11*2*20)-(H11*2*15)-(J11*2*10)-(L11*2*5)-(N11*2*2.5))/1.25)/2,0)</f>
        <v>0</v>
      </c>
      <c r="Q11" s="165"/>
      <c r="R11" s="147">
        <v>1</v>
      </c>
      <c r="X11" s="75">
        <f>0.3*'Attempt Selection'!$E$10</f>
        <v>89.774999999999991</v>
      </c>
      <c r="Y11" s="75">
        <f t="shared" si="0"/>
        <v>40</v>
      </c>
    </row>
    <row r="12" spans="2:25" ht="18">
      <c r="B12" s="160">
        <f t="shared" si="1"/>
        <v>155</v>
      </c>
      <c r="C12" s="96"/>
      <c r="D12" s="140">
        <f>ROUNDDOWN(((B12-25)/25)/2,0)</f>
        <v>2</v>
      </c>
      <c r="E12" s="165"/>
      <c r="F12" s="141">
        <f>ROUNDDOWN(((B12-25-(D12*2*25))/20)/2,0)</f>
        <v>0</v>
      </c>
      <c r="G12" s="165"/>
      <c r="H12" s="142">
        <f>ROUNDDOWN(((B12-25-(D12*2*25)-(F12*2*20))/15)/2,0)</f>
        <v>1</v>
      </c>
      <c r="I12" s="165"/>
      <c r="J12" s="143">
        <f>ROUNDDOWN(((B12-25-(D12*2*25)-(F12*2*20)-(H12*2*15))/10)/2,0)</f>
        <v>0</v>
      </c>
      <c r="K12" s="165"/>
      <c r="L12" s="144">
        <f>ROUNDDOWN(((B12-25-(D12*2*25)-(F12*2*20)-(H12*2*15)-(J12*2*10))/5)/2,0)</f>
        <v>0</v>
      </c>
      <c r="M12" s="165"/>
      <c r="N12" s="145">
        <f>ROUNDDOWN(((B12-25-(D12*2*25)-(F12*2*20)-(H12*2*15)-(J12*2*10)-(L12*2*5))/2.5)/2,0)</f>
        <v>0</v>
      </c>
      <c r="O12" s="165"/>
      <c r="P12" s="146">
        <f>ROUNDDOWN(((B12-25-(D12*2*25)-(F12*2*20)-(H12*2*15)-(J12*2*10)-(L12*2*5)-(N12*2*2.5))/1.25)/2,0)</f>
        <v>0</v>
      </c>
      <c r="Q12" s="165"/>
      <c r="R12" s="147">
        <v>1</v>
      </c>
      <c r="X12" s="75">
        <f>0.5*'Attempt Selection'!$E$10</f>
        <v>149.625</v>
      </c>
      <c r="Y12" s="75">
        <f t="shared" si="0"/>
        <v>67.5</v>
      </c>
    </row>
    <row r="13" spans="2:25" ht="19" thickBot="1">
      <c r="B13" s="161">
        <f t="shared" si="1"/>
        <v>177.5</v>
      </c>
      <c r="C13" s="123"/>
      <c r="D13" s="148">
        <f>ROUNDDOWN(((B13-25)/25)/2,0)</f>
        <v>3</v>
      </c>
      <c r="E13" s="166"/>
      <c r="F13" s="149">
        <f>ROUNDDOWN(((B13-25-(D13*2*25))/20)/2,0)</f>
        <v>0</v>
      </c>
      <c r="G13" s="166"/>
      <c r="H13" s="150">
        <f>ROUNDDOWN(((B13-25-(D13*2*25)-(F13*2*20))/15)/2,0)</f>
        <v>0</v>
      </c>
      <c r="I13" s="166"/>
      <c r="J13" s="151">
        <f>ROUNDDOWN(((B13-25-(D13*2*25)-(F13*2*20)-(H13*2*15))/10)/2,0)</f>
        <v>0</v>
      </c>
      <c r="K13" s="166"/>
      <c r="L13" s="152">
        <f>ROUNDDOWN(((B13-25-(D13*2*25)-(F13*2*20)-(H13*2*15)-(J13*2*10))/5)/2,0)</f>
        <v>0</v>
      </c>
      <c r="M13" s="166"/>
      <c r="N13" s="153">
        <f>ROUNDDOWN(((B13-25-(D13*2*25)-(F13*2*20)-(H13*2*15)-(J13*2*10)-(L13*2*5))/2.5)/2,0)</f>
        <v>0</v>
      </c>
      <c r="O13" s="166"/>
      <c r="P13" s="154">
        <f>ROUNDDOWN(((B13-25-(D13*2*25)-(F13*2*20)-(H13*2*15)-(J13*2*10)-(L13*2*5)-(N13*2*2.5))/1.25)/2,0)</f>
        <v>1</v>
      </c>
      <c r="Q13" s="166"/>
      <c r="R13" s="155">
        <v>1</v>
      </c>
      <c r="X13" s="75">
        <f>0.7*'Attempt Selection'!$E$10</f>
        <v>209.47499999999999</v>
      </c>
      <c r="Y13" s="75">
        <f t="shared" si="0"/>
        <v>95</v>
      </c>
    </row>
    <row r="14" spans="2:25" s="75" customFormat="1">
      <c r="B14" s="158" t="s">
        <v>37</v>
      </c>
      <c r="C14" s="159"/>
      <c r="D14" s="164">
        <v>25</v>
      </c>
      <c r="E14" s="164"/>
      <c r="F14" s="164">
        <v>20</v>
      </c>
      <c r="G14" s="164"/>
      <c r="H14" s="164">
        <v>15</v>
      </c>
      <c r="I14" s="164"/>
      <c r="J14" s="164">
        <v>10</v>
      </c>
      <c r="K14" s="164"/>
      <c r="L14" s="164">
        <v>5</v>
      </c>
      <c r="M14" s="164"/>
      <c r="N14" s="164">
        <v>2.5</v>
      </c>
      <c r="O14" s="164"/>
      <c r="P14" s="164">
        <v>1.25</v>
      </c>
      <c r="Q14" s="164"/>
      <c r="R14" s="131" t="s">
        <v>104</v>
      </c>
      <c r="X14" s="75">
        <f>0.8*'Attempt Selection'!$E$10</f>
        <v>239.4</v>
      </c>
      <c r="Y14" s="75">
        <f t="shared" si="0"/>
        <v>107.5</v>
      </c>
    </row>
    <row r="15" spans="2:25" ht="18">
      <c r="B15" s="160">
        <f t="shared" si="1"/>
        <v>40</v>
      </c>
      <c r="C15" s="96"/>
      <c r="D15" s="140">
        <f>ROUNDDOWN(((B15-25)/25)/2,0)</f>
        <v>0</v>
      </c>
      <c r="E15" s="165"/>
      <c r="F15" s="141">
        <f>ROUNDDOWN(((B15-25-(D15*2*25))/20)/2,0)</f>
        <v>0</v>
      </c>
      <c r="G15" s="165"/>
      <c r="H15" s="142">
        <f>ROUNDDOWN(((B15-25-(D15*2*25)-(F15*2*20))/15)/2,0)</f>
        <v>0</v>
      </c>
      <c r="I15" s="165"/>
      <c r="J15" s="143">
        <f>ROUNDDOWN(((B15-25-(D15*2*25)-(F15*2*20)-(H15*2*15))/10)/2,0)</f>
        <v>0</v>
      </c>
      <c r="K15" s="165"/>
      <c r="L15" s="144">
        <f>ROUNDDOWN(((B15-25-(D15*2*25)-(F15*2*20)-(H15*2*15)-(J15*2*10))/5)/2,0)</f>
        <v>1</v>
      </c>
      <c r="M15" s="165"/>
      <c r="N15" s="145">
        <f>ROUNDDOWN(((B15-25-(D15*2*25)-(F15*2*20)-(H15*2*15)-(J15*2*10)-(L15*2*5))/2.5)/2,0)</f>
        <v>1</v>
      </c>
      <c r="O15" s="165"/>
      <c r="P15" s="146">
        <f>ROUNDDOWN(((B15-25-(D15*2*25)-(F15*2*20)-(H15*2*15)-(J15*2*10)-(L15*2*5)-(N15*2*2.5))/1.25)/2,0)</f>
        <v>0</v>
      </c>
      <c r="Q15" s="165"/>
      <c r="R15" s="147">
        <v>1</v>
      </c>
      <c r="X15" s="75" t="s">
        <v>38</v>
      </c>
    </row>
    <row r="16" spans="2:25" ht="18">
      <c r="B16" s="160">
        <f t="shared" si="1"/>
        <v>67.5</v>
      </c>
      <c r="C16" s="96"/>
      <c r="D16" s="140">
        <f>ROUNDDOWN(((B16-25)/25)/2,0)</f>
        <v>0</v>
      </c>
      <c r="E16" s="165"/>
      <c r="F16" s="141">
        <f>ROUNDDOWN(((B16-25-(D16*2*25))/20)/2,0)</f>
        <v>1</v>
      </c>
      <c r="G16" s="165"/>
      <c r="H16" s="142">
        <f>ROUNDDOWN(((B16-25-(D16*2*25)-(F16*2*20))/15)/2,0)</f>
        <v>0</v>
      </c>
      <c r="I16" s="165"/>
      <c r="J16" s="143">
        <f>ROUNDDOWN(((B16-25-(D16*2*25)-(F16*2*20)-(H16*2*15))/10)/2,0)</f>
        <v>0</v>
      </c>
      <c r="K16" s="165"/>
      <c r="L16" s="144">
        <f>ROUNDDOWN(((B16-25-(D16*2*25)-(F16*2*20)-(H16*2*15)-(J16*2*10))/5)/2,0)</f>
        <v>0</v>
      </c>
      <c r="M16" s="165"/>
      <c r="N16" s="145">
        <f>ROUNDDOWN(((B16-25-(D16*2*25)-(F16*2*20)-(H16*2*15)-(J16*2*10)-(L16*2*5))/2.5)/2,0)</f>
        <v>0</v>
      </c>
      <c r="O16" s="165"/>
      <c r="P16" s="146">
        <f>ROUNDDOWN(((B16-25-(D16*2*25)-(F16*2*20)-(H16*2*15)-(J16*2*10)-(L16*2*5)-(N16*2*2.5))/1.25)/2,0)</f>
        <v>1</v>
      </c>
      <c r="Q16" s="165"/>
      <c r="R16" s="147">
        <v>1</v>
      </c>
      <c r="X16" s="75">
        <f>0.3*'Attempt Selection'!$E$11</f>
        <v>142.5</v>
      </c>
      <c r="Y16" s="75">
        <f t="shared" si="0"/>
        <v>65</v>
      </c>
    </row>
    <row r="17" spans="2:25" ht="18">
      <c r="B17" s="160">
        <f t="shared" si="1"/>
        <v>95</v>
      </c>
      <c r="C17" s="96"/>
      <c r="D17" s="140">
        <f>ROUNDDOWN(((B17-25)/25)/2,0)</f>
        <v>1</v>
      </c>
      <c r="E17" s="165"/>
      <c r="F17" s="141">
        <f>ROUNDDOWN(((B17-25-(D17*2*25))/20)/2,0)</f>
        <v>0</v>
      </c>
      <c r="G17" s="165"/>
      <c r="H17" s="142">
        <f>ROUNDDOWN(((B17-25-(D17*2*25)-(F17*2*20))/15)/2,0)</f>
        <v>0</v>
      </c>
      <c r="I17" s="165"/>
      <c r="J17" s="143">
        <f>ROUNDDOWN(((B17-25-(D17*2*25)-(F17*2*20)-(H17*2*15))/10)/2,0)</f>
        <v>1</v>
      </c>
      <c r="K17" s="165"/>
      <c r="L17" s="144">
        <f>ROUNDDOWN(((B17-25-(D17*2*25)-(F17*2*20)-(H17*2*15)-(J17*2*10))/5)/2,0)</f>
        <v>0</v>
      </c>
      <c r="M17" s="165"/>
      <c r="N17" s="145">
        <f>ROUNDDOWN(((B17-25-(D17*2*25)-(F17*2*20)-(H17*2*15)-(J17*2*10)-(L17*2*5))/2.5)/2,0)</f>
        <v>0</v>
      </c>
      <c r="O17" s="165"/>
      <c r="P17" s="146">
        <f>ROUNDDOWN(((B17-25-(D17*2*25)-(F17*2*20)-(H17*2*15)-(J17*2*10)-(L17*2*5)-(N17*2*2.5))/1.25)/2,0)</f>
        <v>0</v>
      </c>
      <c r="Q17" s="165"/>
      <c r="R17" s="147">
        <v>1</v>
      </c>
      <c r="X17" s="75">
        <f>0.5*'Attempt Selection'!$E$11</f>
        <v>237.5</v>
      </c>
      <c r="Y17" s="75">
        <f t="shared" si="0"/>
        <v>107.5</v>
      </c>
    </row>
    <row r="18" spans="2:25" ht="19" thickBot="1">
      <c r="B18" s="161">
        <f t="shared" si="1"/>
        <v>107.5</v>
      </c>
      <c r="C18" s="123"/>
      <c r="D18" s="148">
        <f>ROUNDDOWN(((B18-25)/25)/2,0)</f>
        <v>1</v>
      </c>
      <c r="E18" s="166"/>
      <c r="F18" s="149">
        <f>ROUNDDOWN(((B18-25-(D18*2*25))/20)/2,0)</f>
        <v>0</v>
      </c>
      <c r="G18" s="166"/>
      <c r="H18" s="150">
        <f>ROUNDDOWN(((B18-25-(D18*2*25)-(F18*2*20))/15)/2,0)</f>
        <v>1</v>
      </c>
      <c r="I18" s="166"/>
      <c r="J18" s="151">
        <f>ROUNDDOWN(((B18-25-(D18*2*25)-(F18*2*20)-(H18*2*15))/10)/2,0)</f>
        <v>0</v>
      </c>
      <c r="K18" s="166"/>
      <c r="L18" s="152">
        <f>ROUNDDOWN(((B18-25-(D18*2*25)-(F18*2*20)-(H18*2*15)-(J18*2*10))/5)/2,0)</f>
        <v>0</v>
      </c>
      <c r="M18" s="166"/>
      <c r="N18" s="153">
        <f>ROUNDDOWN(((B18-25-(D18*2*25)-(F18*2*20)-(H18*2*15)-(J18*2*10)-(L18*2*5))/2.5)/2,0)</f>
        <v>0</v>
      </c>
      <c r="O18" s="166"/>
      <c r="P18" s="154">
        <f>ROUNDDOWN(((B18-25-(D18*2*25)-(F18*2*20)-(H18*2*15)-(J18*2*10)-(L18*2*5)-(N18*2*2.5))/1.25)/2,0)</f>
        <v>1</v>
      </c>
      <c r="Q18" s="166"/>
      <c r="R18" s="155">
        <v>1</v>
      </c>
      <c r="X18" s="75">
        <f>0.7*'Attempt Selection'!$E$11</f>
        <v>332.5</v>
      </c>
      <c r="Y18" s="75">
        <f t="shared" si="0"/>
        <v>150</v>
      </c>
    </row>
    <row r="19" spans="2:25" s="75" customFormat="1">
      <c r="B19" s="162" t="s">
        <v>38</v>
      </c>
      <c r="C19" s="96"/>
      <c r="D19" s="164">
        <v>25</v>
      </c>
      <c r="E19" s="164"/>
      <c r="F19" s="164">
        <v>20</v>
      </c>
      <c r="G19" s="164"/>
      <c r="H19" s="164">
        <v>15</v>
      </c>
      <c r="I19" s="164"/>
      <c r="J19" s="164">
        <v>10</v>
      </c>
      <c r="K19" s="164"/>
      <c r="L19" s="164">
        <v>5</v>
      </c>
      <c r="M19" s="164"/>
      <c r="N19" s="164">
        <v>2.5</v>
      </c>
      <c r="O19" s="164"/>
      <c r="P19" s="164">
        <v>1.25</v>
      </c>
      <c r="Q19" s="164"/>
      <c r="R19" s="131" t="s">
        <v>104</v>
      </c>
      <c r="X19" s="75">
        <f>0.8*'Attempt Selection'!$E$11</f>
        <v>380</v>
      </c>
      <c r="Y19" s="75">
        <f t="shared" si="0"/>
        <v>172.5</v>
      </c>
    </row>
    <row r="20" spans="2:25" ht="18">
      <c r="B20" s="160">
        <f t="shared" si="1"/>
        <v>65</v>
      </c>
      <c r="C20" s="96"/>
      <c r="D20" s="140">
        <f>ROUNDDOWN(((B20-25)/25)/2,0)</f>
        <v>0</v>
      </c>
      <c r="E20" s="165"/>
      <c r="F20" s="141">
        <f>ROUNDDOWN(((B20-25-(D20*2*25))/20)/2,0)</f>
        <v>1</v>
      </c>
      <c r="G20" s="165"/>
      <c r="H20" s="142">
        <f>ROUNDDOWN(((B20-25-(D20*2*25)-(F20*2*20))/15)/2,0)</f>
        <v>0</v>
      </c>
      <c r="I20" s="165"/>
      <c r="J20" s="143">
        <f>ROUNDDOWN(((B20-25-(D20*2*25)-(F20*2*20)-(H20*2*15))/10)/2,0)</f>
        <v>0</v>
      </c>
      <c r="K20" s="165"/>
      <c r="L20" s="144">
        <f>ROUNDDOWN(((B20-25-(D20*2*25)-(F20*2*20)-(H20*2*15)-(J20*2*10))/5)/2,0)</f>
        <v>0</v>
      </c>
      <c r="M20" s="165"/>
      <c r="N20" s="145">
        <f>ROUNDDOWN(((B20-25-(D20*2*25)-(F20*2*20)-(H20*2*15)-(J20*2*10)-(L20*2*5))/2.5)/2,0)</f>
        <v>0</v>
      </c>
      <c r="O20" s="165"/>
      <c r="P20" s="146">
        <f>ROUNDDOWN(((B20-25-(D20*2*25)-(F20*2*20)-(H20*2*15)-(J20*2*10)-(L20*2*5)-(N20*2*2.5))/1.25)/2,0)</f>
        <v>0</v>
      </c>
      <c r="Q20" s="165"/>
      <c r="R20" s="147">
        <v>1</v>
      </c>
    </row>
    <row r="21" spans="2:25" ht="18">
      <c r="B21" s="160">
        <f t="shared" si="1"/>
        <v>107.5</v>
      </c>
      <c r="C21" s="96"/>
      <c r="D21" s="140">
        <f>ROUNDDOWN(((B21-25)/25)/2,0)</f>
        <v>1</v>
      </c>
      <c r="E21" s="165"/>
      <c r="F21" s="141">
        <f>ROUNDDOWN(((B21-25-(D21*2*25))/20)/2,0)</f>
        <v>0</v>
      </c>
      <c r="G21" s="165"/>
      <c r="H21" s="142">
        <f>ROUNDDOWN(((B21-25-(D21*2*25)-(F21*2*20))/15)/2,0)</f>
        <v>1</v>
      </c>
      <c r="I21" s="165"/>
      <c r="J21" s="143">
        <f>ROUNDDOWN(((B21-25-(D21*2*25)-(F21*2*20)-(H21*2*15))/10)/2,0)</f>
        <v>0</v>
      </c>
      <c r="K21" s="165"/>
      <c r="L21" s="144">
        <f>ROUNDDOWN(((B21-25-(D21*2*25)-(F21*2*20)-(H21*2*15)-(J21*2*10))/5)/2,0)</f>
        <v>0</v>
      </c>
      <c r="M21" s="165"/>
      <c r="N21" s="145">
        <f>ROUNDDOWN(((B21-25-(D21*2*25)-(F21*2*20)-(H21*2*15)-(J21*2*10)-(L21*2*5))/2.5)/2,0)</f>
        <v>0</v>
      </c>
      <c r="O21" s="165"/>
      <c r="P21" s="146">
        <f>ROUNDDOWN(((B21-25-(D21*2*25)-(F21*2*20)-(H21*2*15)-(J21*2*10)-(L21*2*5)-(N21*2*2.5))/1.25)/2,0)</f>
        <v>1</v>
      </c>
      <c r="Q21" s="165"/>
      <c r="R21" s="147">
        <v>1</v>
      </c>
    </row>
    <row r="22" spans="2:25" ht="18">
      <c r="B22" s="160">
        <f t="shared" si="1"/>
        <v>150</v>
      </c>
      <c r="C22" s="96"/>
      <c r="D22" s="140">
        <f>ROUNDDOWN(((B22-25)/25)/2,0)</f>
        <v>2</v>
      </c>
      <c r="E22" s="165"/>
      <c r="F22" s="141">
        <f>ROUNDDOWN(((B22-25-(D22*2*25))/20)/2,0)</f>
        <v>0</v>
      </c>
      <c r="G22" s="165"/>
      <c r="H22" s="142">
        <f>ROUNDDOWN(((B22-25-(D22*2*25)-(F22*2*20))/15)/2,0)</f>
        <v>0</v>
      </c>
      <c r="I22" s="165"/>
      <c r="J22" s="143">
        <f>ROUNDDOWN(((B22-25-(D22*2*25)-(F22*2*20)-(H22*2*15))/10)/2,0)</f>
        <v>1</v>
      </c>
      <c r="K22" s="165"/>
      <c r="L22" s="144">
        <f>ROUNDDOWN(((B22-25-(D22*2*25)-(F22*2*20)-(H22*2*15)-(J22*2*10))/5)/2,0)</f>
        <v>0</v>
      </c>
      <c r="M22" s="165"/>
      <c r="N22" s="145">
        <f>ROUNDDOWN(((B22-25-(D22*2*25)-(F22*2*20)-(H22*2*15)-(J22*2*10)-(L22*2*5))/2.5)/2,0)</f>
        <v>1</v>
      </c>
      <c r="O22" s="165"/>
      <c r="P22" s="146">
        <f>ROUNDDOWN(((B22-25-(D22*2*25)-(F22*2*20)-(H22*2*15)-(J22*2*10)-(L22*2*5)-(N22*2*2.5))/1.25)/2,0)</f>
        <v>0</v>
      </c>
      <c r="Q22" s="165"/>
      <c r="R22" s="147">
        <v>1</v>
      </c>
    </row>
    <row r="23" spans="2:25" ht="19" thickBot="1">
      <c r="B23" s="161">
        <f t="shared" si="1"/>
        <v>172.5</v>
      </c>
      <c r="C23" s="123"/>
      <c r="D23" s="148">
        <f>ROUNDDOWN(((B23-25)/25)/2,0)</f>
        <v>2</v>
      </c>
      <c r="E23" s="166"/>
      <c r="F23" s="149">
        <f>ROUNDDOWN(((B23-25-(D23*2*25))/20)/2,0)</f>
        <v>1</v>
      </c>
      <c r="G23" s="166"/>
      <c r="H23" s="150">
        <f>ROUNDDOWN(((B23-25-(D23*2*25)-(F23*2*20))/15)/2,0)</f>
        <v>0</v>
      </c>
      <c r="I23" s="166"/>
      <c r="J23" s="151">
        <f>ROUNDDOWN(((B23-25-(D23*2*25)-(F23*2*20)-(H23*2*15))/10)/2,0)</f>
        <v>0</v>
      </c>
      <c r="K23" s="166"/>
      <c r="L23" s="152">
        <f>ROUNDDOWN(((B23-25-(D23*2*25)-(F23*2*20)-(H23*2*15)-(J23*2*10))/5)/2,0)</f>
        <v>0</v>
      </c>
      <c r="M23" s="166"/>
      <c r="N23" s="153">
        <f>ROUNDDOWN(((B23-25-(D23*2*25)-(F23*2*20)-(H23*2*15)-(J23*2*10)-(L23*2*5))/2.5)/2,0)</f>
        <v>1</v>
      </c>
      <c r="O23" s="166"/>
      <c r="P23" s="154">
        <f>ROUNDDOWN(((B23-25-(D23*2*25)-(F23*2*20)-(H23*2*15)-(J23*2*10)-(L23*2*5)-(N23*2*2.5))/1.25)/2,0)</f>
        <v>1</v>
      </c>
      <c r="Q23" s="166"/>
      <c r="R23" s="155">
        <v>1</v>
      </c>
    </row>
    <row r="24" spans="2:25" s="75" customFormat="1"/>
    <row r="25" spans="2:25" s="75" customFormat="1"/>
    <row r="26" spans="2:25" s="75" customFormat="1"/>
    <row r="27" spans="2:25" s="75" customFormat="1"/>
    <row r="28" spans="2:25" s="75" customFormat="1"/>
    <row r="29" spans="2:25" s="75" customFormat="1"/>
    <row r="30" spans="2:25" s="75" customFormat="1"/>
    <row r="31" spans="2:25" s="75" customFormat="1"/>
    <row r="32" spans="2:25" s="75" customFormat="1"/>
    <row r="33" s="75" customFormat="1"/>
    <row r="34" s="75" customFormat="1"/>
    <row r="35" s="75" customFormat="1"/>
    <row r="36" s="75" customFormat="1"/>
    <row r="37" s="75" customFormat="1"/>
    <row r="38" s="75" customFormat="1"/>
    <row r="39" s="75" customFormat="1"/>
    <row r="40" s="75" customFormat="1"/>
    <row r="41" s="75" customFormat="1"/>
    <row r="42" s="75" customFormat="1"/>
    <row r="43" s="75" customFormat="1"/>
    <row r="44" s="75" customFormat="1"/>
    <row r="45" s="75" customFormat="1"/>
    <row r="46" s="75" customFormat="1"/>
    <row r="47" s="75" customFormat="1"/>
    <row r="48" s="75" customFormat="1"/>
    <row r="49" s="75" customFormat="1"/>
    <row r="50" s="75" customFormat="1"/>
    <row r="51" s="75" customFormat="1"/>
    <row r="52" s="75" customFormat="1"/>
    <row r="53" s="75" customFormat="1"/>
    <row r="54" s="75" customFormat="1"/>
    <row r="55" s="75" customFormat="1"/>
    <row r="56" s="75" customFormat="1"/>
    <row r="57" s="75" customFormat="1"/>
    <row r="58" s="75" customFormat="1"/>
    <row r="59" s="75" customFormat="1"/>
    <row r="60" s="75" customFormat="1"/>
    <row r="61" s="75" customFormat="1"/>
    <row r="62" s="75" customFormat="1"/>
    <row r="63" s="75" customFormat="1"/>
    <row r="64" s="75" customFormat="1"/>
    <row r="65" s="75" customFormat="1"/>
    <row r="66" s="75" customFormat="1"/>
    <row r="67" s="75" customFormat="1"/>
    <row r="68" s="75" customFormat="1"/>
    <row r="69" s="75" customFormat="1"/>
    <row r="70" s="75" customFormat="1"/>
    <row r="71" s="75" customFormat="1"/>
    <row r="72" s="75" customFormat="1"/>
    <row r="73" s="75" customFormat="1"/>
    <row r="74" s="75" customFormat="1"/>
    <row r="75" s="75" customFormat="1"/>
    <row r="76" s="75" customFormat="1"/>
    <row r="77" s="75" customFormat="1"/>
    <row r="78" s="75" customFormat="1"/>
    <row r="79" s="75" customFormat="1"/>
    <row r="80" s="75" customFormat="1"/>
    <row r="81" s="75" customFormat="1"/>
    <row r="82" s="75" customFormat="1"/>
    <row r="83" s="75" customFormat="1"/>
    <row r="84" s="75" customFormat="1"/>
    <row r="85" s="75" customFormat="1"/>
    <row r="86" s="75" customFormat="1"/>
    <row r="87" s="75" customFormat="1"/>
    <row r="88" s="75" customFormat="1"/>
    <row r="89" s="75" customFormat="1"/>
    <row r="90" s="75" customFormat="1"/>
    <row r="91" s="75" customFormat="1"/>
    <row r="92" s="75" customFormat="1"/>
    <row r="93" s="75" customFormat="1"/>
    <row r="94" s="75" customFormat="1"/>
    <row r="95" s="75" customFormat="1"/>
    <row r="96" s="75" customFormat="1"/>
    <row r="97" s="75" customFormat="1"/>
    <row r="98" s="75" customFormat="1"/>
    <row r="99" s="75" customFormat="1"/>
    <row r="100" s="75" customFormat="1"/>
    <row r="101" s="75" customFormat="1"/>
    <row r="102" s="75" customFormat="1"/>
    <row r="103" s="75" customFormat="1"/>
    <row r="104" s="75" customFormat="1"/>
    <row r="105" s="75" customFormat="1"/>
    <row r="106" s="75" customFormat="1"/>
    <row r="107" s="75" customFormat="1"/>
    <row r="108" s="75" customFormat="1"/>
    <row r="109" s="75" customFormat="1"/>
    <row r="110" s="75" customFormat="1"/>
    <row r="111" s="75" customFormat="1"/>
    <row r="112" s="75" customFormat="1"/>
    <row r="113" s="75" customFormat="1"/>
    <row r="114" s="75" customFormat="1"/>
    <row r="115" s="75" customFormat="1"/>
    <row r="116" s="75" customFormat="1"/>
    <row r="117" s="75" customFormat="1"/>
    <row r="118" s="75" customFormat="1"/>
    <row r="119" s="75" customFormat="1"/>
    <row r="120" s="75" customFormat="1"/>
    <row r="121" s="75" customFormat="1"/>
    <row r="122" s="75" customFormat="1"/>
    <row r="123" s="75" customFormat="1"/>
    <row r="124" s="75" customFormat="1"/>
    <row r="125" s="75" customFormat="1"/>
    <row r="126" s="75" customFormat="1"/>
    <row r="127" s="75" customFormat="1"/>
    <row r="128" s="75" customFormat="1"/>
    <row r="129" s="75" customFormat="1"/>
    <row r="130" s="75" customFormat="1"/>
    <row r="131" s="75" customFormat="1"/>
    <row r="132" s="75" customFormat="1"/>
    <row r="133" s="75" customFormat="1"/>
    <row r="134" s="75" customFormat="1"/>
    <row r="135" s="75" customFormat="1"/>
    <row r="136" s="75" customFormat="1"/>
    <row r="137" s="75" customFormat="1"/>
    <row r="138" s="75" customFormat="1"/>
    <row r="139" s="75" customFormat="1"/>
    <row r="140" s="75" customFormat="1"/>
    <row r="141" s="75" customFormat="1"/>
    <row r="142" s="75" customFormat="1"/>
    <row r="143" s="75" customFormat="1"/>
    <row r="144" s="75" customFormat="1"/>
    <row r="145" s="75" customFormat="1"/>
    <row r="146" s="75" customFormat="1"/>
    <row r="147" s="75" customFormat="1"/>
    <row r="148" s="75" customFormat="1"/>
    <row r="149" s="75" customFormat="1"/>
    <row r="150" s="75" customFormat="1"/>
    <row r="151" s="75" customFormat="1"/>
    <row r="152" s="75" customFormat="1"/>
    <row r="153" s="75" customFormat="1"/>
    <row r="154" s="75" customFormat="1"/>
    <row r="155" s="75" customFormat="1"/>
    <row r="156" s="75" customFormat="1"/>
    <row r="157" s="75" customFormat="1"/>
    <row r="158" s="75" customFormat="1"/>
    <row r="159" s="75" customFormat="1"/>
    <row r="160" s="75" customFormat="1"/>
    <row r="161" s="75" customFormat="1"/>
    <row r="162" s="75" customFormat="1"/>
    <row r="163" s="75" customFormat="1"/>
    <row r="164" s="75" customFormat="1"/>
    <row r="165" s="75" customFormat="1"/>
    <row r="166" s="75" customFormat="1"/>
    <row r="167" s="75" customFormat="1"/>
    <row r="168" s="75" customFormat="1"/>
    <row r="169" s="75" customFormat="1"/>
    <row r="170" s="75" customFormat="1"/>
    <row r="171" s="75" customFormat="1"/>
    <row r="172" s="75" customFormat="1"/>
    <row r="173" s="75" customFormat="1"/>
    <row r="174" s="75" customFormat="1"/>
    <row r="175" s="75" customFormat="1"/>
    <row r="176" s="75" customFormat="1"/>
    <row r="177" s="75" customFormat="1"/>
    <row r="178" s="75" customFormat="1"/>
    <row r="179" s="75" customFormat="1"/>
    <row r="180" s="75" customFormat="1"/>
    <row r="181" s="75" customFormat="1"/>
    <row r="182" s="75" customFormat="1"/>
    <row r="183" s="75" customFormat="1"/>
    <row r="184" s="75" customFormat="1"/>
    <row r="185" s="75" customFormat="1"/>
    <row r="186" s="75" customFormat="1"/>
    <row r="187" s="75" customFormat="1"/>
    <row r="188" s="75" customFormat="1"/>
    <row r="189" s="75" customFormat="1"/>
    <row r="190" s="75" customFormat="1"/>
    <row r="191" s="75" customFormat="1"/>
    <row r="192" s="75" customFormat="1"/>
    <row r="193" s="75" customFormat="1"/>
    <row r="194" s="75" customFormat="1"/>
    <row r="195" s="75" customFormat="1"/>
    <row r="196" s="75" customFormat="1"/>
    <row r="197" s="75" customFormat="1"/>
    <row r="198" s="75" customFormat="1"/>
    <row r="199" s="75" customFormat="1"/>
    <row r="200" s="75" customFormat="1"/>
    <row r="201" s="75" customFormat="1"/>
    <row r="202" s="75" customFormat="1"/>
    <row r="203" s="75" customFormat="1"/>
    <row r="204" s="75" customFormat="1"/>
    <row r="205" s="75" customFormat="1"/>
    <row r="206" s="75" customFormat="1"/>
    <row r="207" s="75" customFormat="1"/>
    <row r="208" s="75" customFormat="1"/>
    <row r="209" s="75" customFormat="1"/>
    <row r="210" s="75" customFormat="1"/>
    <row r="211" s="75" customFormat="1"/>
    <row r="212" s="75" customFormat="1"/>
    <row r="213" s="75" customFormat="1"/>
    <row r="214" s="75" customFormat="1"/>
    <row r="215" s="75" customFormat="1"/>
    <row r="216" s="75" customFormat="1"/>
    <row r="217" s="75" customFormat="1"/>
    <row r="218" s="75" customFormat="1"/>
    <row r="219" s="75" customFormat="1"/>
    <row r="220" s="75" customFormat="1"/>
    <row r="221" s="75" customFormat="1"/>
    <row r="222" s="75" customFormat="1"/>
    <row r="223" s="75" customFormat="1"/>
    <row r="224" s="75" customFormat="1"/>
    <row r="225" s="75" customFormat="1"/>
    <row r="226" s="75" customFormat="1"/>
    <row r="227" s="75" customFormat="1"/>
    <row r="228" s="75" customFormat="1"/>
    <row r="229" s="75" customFormat="1"/>
    <row r="230" s="75" customFormat="1"/>
    <row r="231" s="75" customFormat="1"/>
    <row r="232" s="75" customFormat="1"/>
    <row r="233" s="75" customFormat="1"/>
    <row r="234" s="75" customFormat="1"/>
    <row r="235" s="75" customFormat="1"/>
    <row r="236" s="75" customFormat="1"/>
    <row r="237" s="75" customFormat="1"/>
    <row r="238" s="75" customFormat="1"/>
    <row r="239" s="75" customFormat="1"/>
    <row r="240" s="75" customFormat="1"/>
    <row r="241" s="75" customFormat="1"/>
    <row r="242" s="75" customFormat="1"/>
    <row r="243" s="75" customFormat="1"/>
    <row r="244" s="75" customFormat="1"/>
    <row r="245" s="75" customFormat="1"/>
    <row r="246" s="75" customFormat="1"/>
    <row r="247" s="75" customFormat="1"/>
    <row r="248" s="75" customFormat="1"/>
    <row r="249" s="75" customFormat="1"/>
    <row r="250" s="75" customFormat="1"/>
    <row r="251" s="75" customFormat="1"/>
    <row r="252" s="75" customFormat="1"/>
    <row r="253" s="75" customFormat="1"/>
    <row r="254" s="75" customFormat="1"/>
    <row r="255" s="75" customFormat="1"/>
    <row r="256" s="75" customFormat="1"/>
    <row r="257" s="75" customFormat="1"/>
    <row r="258" s="75" customFormat="1"/>
    <row r="259" s="75" customFormat="1"/>
    <row r="260" s="75" customFormat="1"/>
    <row r="261" s="75" customFormat="1"/>
    <row r="262" s="75" customFormat="1"/>
    <row r="263" s="75" customFormat="1"/>
    <row r="264" s="75" customFormat="1"/>
    <row r="265" s="75" customFormat="1"/>
    <row r="266" s="75" customFormat="1"/>
    <row r="267" s="75" customFormat="1"/>
    <row r="268" s="75" customFormat="1"/>
    <row r="269" s="75" customFormat="1"/>
    <row r="270" s="75" customFormat="1"/>
    <row r="271" s="75" customFormat="1"/>
    <row r="272" s="75" customFormat="1"/>
    <row r="273" s="75" customFormat="1"/>
    <row r="274" s="75" customFormat="1"/>
    <row r="275" s="75" customFormat="1"/>
    <row r="276" s="75" customFormat="1"/>
    <row r="277" s="75" customFormat="1"/>
    <row r="278" s="75" customFormat="1"/>
    <row r="279" s="75" customFormat="1"/>
    <row r="280" s="75" customFormat="1"/>
    <row r="281" s="75" customFormat="1"/>
    <row r="282" s="75" customFormat="1"/>
    <row r="283" s="75" customFormat="1"/>
    <row r="284" s="75" customFormat="1"/>
    <row r="285" s="75" customFormat="1"/>
    <row r="286" s="75" customFormat="1"/>
    <row r="287" s="75" customFormat="1"/>
    <row r="288" s="75" customFormat="1"/>
    <row r="289" s="75" customFormat="1"/>
    <row r="290" s="75" customFormat="1"/>
    <row r="291" s="75" customFormat="1"/>
    <row r="292" s="75" customFormat="1"/>
    <row r="293" s="75" customFormat="1"/>
    <row r="294" s="75" customFormat="1"/>
    <row r="295" s="75" customFormat="1"/>
    <row r="296" s="75" customFormat="1"/>
    <row r="297" s="75" customFormat="1"/>
    <row r="298" s="75" customFormat="1"/>
    <row r="299" s="75" customFormat="1"/>
    <row r="300" s="75" customFormat="1"/>
    <row r="301" s="75" customFormat="1"/>
    <row r="302" s="75" customFormat="1"/>
    <row r="303" s="75" customFormat="1"/>
    <row r="304" s="75" customFormat="1"/>
    <row r="305" s="75" customFormat="1"/>
    <row r="306" s="75" customFormat="1"/>
    <row r="307" s="75" customFormat="1"/>
    <row r="308" s="75" customFormat="1"/>
    <row r="309" s="75" customFormat="1"/>
    <row r="310" s="75" customFormat="1"/>
    <row r="311" s="75" customFormat="1"/>
    <row r="312" s="75" customFormat="1"/>
    <row r="313" s="75" customFormat="1"/>
    <row r="314" s="75" customFormat="1"/>
    <row r="315" s="75" customFormat="1"/>
    <row r="316" s="75" customFormat="1"/>
    <row r="317" s="75" customFormat="1"/>
    <row r="318" s="75" customFormat="1"/>
    <row r="319" s="75" customFormat="1"/>
    <row r="320" s="75" customFormat="1"/>
    <row r="321" s="75" customFormat="1"/>
    <row r="322" s="75" customFormat="1"/>
    <row r="323" s="75" customFormat="1"/>
    <row r="324" s="75" customFormat="1"/>
    <row r="325" s="75" customFormat="1"/>
    <row r="326" s="75" customFormat="1"/>
    <row r="327" s="75" customFormat="1"/>
    <row r="328" s="75" customFormat="1"/>
    <row r="329" s="75" customFormat="1"/>
    <row r="330" s="75" customFormat="1"/>
    <row r="331" s="75" customFormat="1"/>
    <row r="332" s="75" customFormat="1"/>
    <row r="333" s="75" customFormat="1"/>
    <row r="334" s="75" customFormat="1"/>
    <row r="335" s="75" customFormat="1"/>
    <row r="336" s="75" customFormat="1"/>
    <row r="337" s="75" customFormat="1"/>
    <row r="338" s="75" customFormat="1"/>
    <row r="339" s="75" customFormat="1"/>
    <row r="340" s="75" customFormat="1"/>
    <row r="341" s="75" customFormat="1"/>
    <row r="342" s="75" customFormat="1"/>
    <row r="343" s="75" customFormat="1"/>
    <row r="344" s="75" customFormat="1"/>
    <row r="345" s="75" customFormat="1"/>
    <row r="346" s="75" customFormat="1"/>
  </sheetData>
  <mergeCells count="1">
    <mergeCell ref="B8:R8"/>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INPUTS</vt:lpstr>
      <vt:lpstr>CUTTING TRACKER</vt:lpstr>
      <vt:lpstr>BULKING TRACKER</vt:lpstr>
      <vt:lpstr>PLOTS</vt:lpstr>
      <vt:lpstr>Water Cut Protocol</vt:lpstr>
      <vt:lpstr>Attempt Selection</vt:lpstr>
      <vt:lpstr>Sheet1</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Thoms, Jonathan</dc:creator>
  <cp:lastModifiedBy>Jonathan Thoms</cp:lastModifiedBy>
  <cp:lastPrinted>2015-04-05T14:57:49Z</cp:lastPrinted>
  <dcterms:created xsi:type="dcterms:W3CDTF">2015-02-20T11:36:18Z</dcterms:created>
  <dcterms:modified xsi:type="dcterms:W3CDTF">2015-05-25T15:47:28Z</dcterms:modified>
</cp:coreProperties>
</file>